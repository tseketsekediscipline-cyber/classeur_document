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p_tsk99/Downloads/"/>
    </mc:Choice>
  </mc:AlternateContent>
  <xr:revisionPtr revIDLastSave="0" documentId="8_{FEA050CA-93C3-F549-8E47-D43A8617C9CD}" xr6:coauthVersionLast="47" xr6:coauthVersionMax="47" xr10:uidLastSave="{00000000-0000-0000-0000-000000000000}"/>
  <bookViews>
    <workbookView xWindow="0" yWindow="720" windowWidth="29400" windowHeight="18400" xr2:uid="{3B464872-1EFF-9045-BBD5-0F68DDC695AA}"/>
  </bookViews>
  <sheets>
    <sheet name="Вариант 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<sst xmlns="http://schemas.openxmlformats.org/spreadsheetml/2006/main" count="86" uniqueCount="38">
  <si>
    <t>Розовый</t>
  </si>
  <si>
    <t>Нарцисс</t>
  </si>
  <si>
    <t>Фиалка</t>
  </si>
  <si>
    <t>Красный</t>
  </si>
  <si>
    <t>Фиолетовый</t>
  </si>
  <si>
    <t>Тюльпан</t>
  </si>
  <si>
    <t>Гвоздика</t>
  </si>
  <si>
    <t>Роза</t>
  </si>
  <si>
    <t>Желтый</t>
  </si>
  <si>
    <t>Орхидея</t>
  </si>
  <si>
    <t>Лилия</t>
  </si>
  <si>
    <t>Гортензия</t>
  </si>
  <si>
    <t>Белый</t>
  </si>
  <si>
    <t>Ромашка</t>
  </si>
  <si>
    <t>Цена</t>
  </si>
  <si>
    <t>Категория</t>
  </si>
  <si>
    <t>С помощью функции "ВПР" найдите и запишите цену в столбец "E" для каждой категории, используя справочную таблицу ниже</t>
  </si>
  <si>
    <t>Пион</t>
  </si>
  <si>
    <t>СЧЕТЕСЛИ</t>
  </si>
  <si>
    <t>Посчитайте количество цветов с признаком "Белый"</t>
  </si>
  <si>
    <t>СУММЕСЛИ</t>
  </si>
  <si>
    <t>Просуммируйте количество при условии, что "Категория"="Роза","Количество"="&gt;30"</t>
  </si>
  <si>
    <t>ЕСЛИ</t>
  </si>
  <si>
    <t>Если значение 17 строки больше чем значение 8 строки, то выведите "Много", если меньше, то "Мало" из колонки "Количество"</t>
  </si>
  <si>
    <t>МАКС</t>
  </si>
  <si>
    <t>Найдите максимальное значение 20 строк (со 4 по 23) из колонки "Количество"</t>
  </si>
  <si>
    <t>МИН</t>
  </si>
  <si>
    <t>Найдите минимальное значение 10 строк (со 6 по 15) из колонки "Количество"</t>
  </si>
  <si>
    <t>СУММ</t>
  </si>
  <si>
    <t>Посуммируйте количество значение 16 строк (со 10 по 25) из колонки "Количество"</t>
  </si>
  <si>
    <t>СРЗНАЧ</t>
  </si>
  <si>
    <t>Найдите среднее значение 15 строк (со 10 по 24) из колонки "Количество"</t>
  </si>
  <si>
    <t>Ответ:</t>
  </si>
  <si>
    <t>Формулы:</t>
  </si>
  <si>
    <t>Задание:</t>
  </si>
  <si>
    <t>Категория признак</t>
  </si>
  <si>
    <t>Количество</t>
  </si>
  <si>
    <t>Признак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</si>
</sst>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0" fillId="3" borderId="3" xfId="0" applyFill="1" applyBorder="1"/>
    <xf numFmtId="0" fontId="0" fillId="4" borderId="3" xfId="0" applyFill="1" applyBorder="1" applyAlignment="1">
      <alignment wrapText="1"/>
    </xf>
    <xf numFmtId="0" fontId="0" fillId="2" borderId="3" xfId="0" applyFill="1" applyBorder="1"/>
    <xf numFmtId="0" fontId="0" fillId="4" borderId="3" xfId="0" applyFill="1" applyBorder="1"/>
    <xf numFmtId="0" fontId="0" fillId="3" borderId="2" xfId="0" applyFill="1" applyBorder="1"/>
    <xf numFmtId="0" fontId="0" fillId="2" borderId="3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5389-6DBD-0547-B7FF-F39EAB3E6E85}">
  <dimension ref="A1:H27"/>
  <sheetViews>
    <sheetView tabSelected="1" zoomScale="61" workbookViewId="0">
      <selection activeCell="H8" sqref="H8"/>
    </sheetView>
  </sheetViews>
  <sheetFormatPr baseColWidth="10" defaultColWidth="8.83203125" defaultRowHeight="15" x14ac:dyDescent="0.2"/>
  <cols>
    <col min="1" max="1" width="20.1640625" customWidth="1"/>
    <col min="2" max="2" width="17.5" customWidth="1"/>
    <col min="3" max="3" width="17.83203125" customWidth="1"/>
    <col min="4" max="4" width="38.5" customWidth="1"/>
    <col min="5" max="5" width="24" customWidth="1"/>
    <col min="6" max="6" width="130" bestFit="1" customWidth="1"/>
    <col min="7" max="7" width="30.6640625" customWidth="1"/>
  </cols>
  <sheetData>
    <row r="1" spans="1:8" x14ac:dyDescent="0.2">
      <c r="A1" s="8" t="s">
        <v>15</v>
      </c>
      <c r="B1" s="8" t="s">
        <v>37</v>
      </c>
      <c r="C1" s="8" t="s">
        <v>36</v>
      </c>
      <c r="D1" s="8" t="s">
        <v>35</v>
      </c>
      <c r="E1" s="8" t="s">
        <v>14</v>
      </c>
      <c r="F1" s="4" t="s">
        <v>34</v>
      </c>
      <c r="G1" s="4" t="s">
        <v>33</v>
      </c>
      <c r="H1" s="4" t="s">
        <v>32</v>
      </c>
    </row>
    <row r="2" spans="1:8" ht="16" x14ac:dyDescent="0.2">
      <c r="A2" s="3" t="s">
        <v>7</v>
      </c>
      <c r="B2" s="3" t="s">
        <v>4</v>
      </c>
      <c r="C2" s="3">
        <v>35</v>
      </c>
      <c r="D2" s="2" t="str">
        <f>A2&amp;" "&amp;B2</f>
        <v>Роза Фиолетовый</v>
      </c>
      <c r="E2" s="1">
        <f>VLOOKUP(A2,F:H,2,0)</f>
        <v>250</v>
      </c>
      <c r="F2" s="5" t="s">
        <v>31</v>
      </c>
      <c r="G2" s="7" t="s">
        <v>30</v>
      </c>
      <c r="H2" s="6">
        <f>AVERAGE(C10:C24)</f>
        <v>49.666666666666664</v>
      </c>
    </row>
    <row r="3" spans="1:8" ht="16" x14ac:dyDescent="0.2">
      <c r="A3" s="3" t="s">
        <v>13</v>
      </c>
      <c r="B3" s="3" t="s">
        <v>8</v>
      </c>
      <c r="C3" s="3">
        <v>6</v>
      </c>
      <c r="D3" s="2" t="str">
        <f t="shared" ref="D3:D27" si="0">A3&amp;" "&amp;B3</f>
        <v>Ромашка Желтый</v>
      </c>
      <c r="E3" s="1">
        <f t="shared" ref="E3:E27" si="1">VLOOKUP(A3,F:H,2,0)</f>
        <v>100</v>
      </c>
      <c r="F3" s="5" t="s">
        <v>29</v>
      </c>
      <c r="G3" s="7" t="s">
        <v>28</v>
      </c>
      <c r="H3" s="6">
        <f>SUM(C10:C25)</f>
        <v>805</v>
      </c>
    </row>
    <row r="4" spans="1:8" ht="16" x14ac:dyDescent="0.2">
      <c r="A4" s="3" t="s">
        <v>1</v>
      </c>
      <c r="B4" s="3" t="s">
        <v>3</v>
      </c>
      <c r="C4" s="3">
        <v>52</v>
      </c>
      <c r="D4" s="2" t="str">
        <f t="shared" si="0"/>
        <v>Нарцисс Красный</v>
      </c>
      <c r="E4" s="1">
        <f t="shared" si="1"/>
        <v>190</v>
      </c>
      <c r="F4" s="5" t="s">
        <v>27</v>
      </c>
      <c r="G4" s="7" t="s">
        <v>26</v>
      </c>
      <c r="H4" s="6">
        <f>MIN(C6:C15)</f>
        <v>1</v>
      </c>
    </row>
    <row r="5" spans="1:8" ht="16" x14ac:dyDescent="0.2">
      <c r="A5" s="3" t="s">
        <v>5</v>
      </c>
      <c r="B5" s="3" t="s">
        <v>4</v>
      </c>
      <c r="C5" s="3">
        <v>66</v>
      </c>
      <c r="D5" s="2" t="str">
        <f t="shared" si="0"/>
        <v>Тюльпан Фиолетовый</v>
      </c>
      <c r="E5" s="1">
        <f t="shared" si="1"/>
        <v>350</v>
      </c>
      <c r="F5" s="5" t="s">
        <v>25</v>
      </c>
      <c r="G5" s="7" t="s">
        <v>24</v>
      </c>
      <c r="H5" s="6">
        <f>MAX(C4:C23)</f>
        <v>96</v>
      </c>
    </row>
    <row r="6" spans="1:8" ht="16" x14ac:dyDescent="0.2">
      <c r="A6" s="3" t="s">
        <v>6</v>
      </c>
      <c r="B6" s="3" t="s">
        <v>0</v>
      </c>
      <c r="C6" s="3">
        <v>1</v>
      </c>
      <c r="D6" s="2" t="str">
        <f t="shared" si="0"/>
        <v>Гвоздика Розовый</v>
      </c>
      <c r="E6" s="1">
        <f t="shared" si="1"/>
        <v>450</v>
      </c>
      <c r="F6" s="5" t="s">
        <v>23</v>
      </c>
      <c r="G6" s="7" t="s">
        <v>22</v>
      </c>
      <c r="H6" s="6" t="str">
        <f>IF(C8&gt;C17, "Много", "Мало")</f>
        <v>Мало</v>
      </c>
    </row>
    <row r="7" spans="1:8" ht="16" x14ac:dyDescent="0.2">
      <c r="A7" s="3" t="s">
        <v>5</v>
      </c>
      <c r="B7" s="3" t="s">
        <v>3</v>
      </c>
      <c r="C7" s="3">
        <v>84</v>
      </c>
      <c r="D7" s="2" t="str">
        <f t="shared" si="0"/>
        <v>Тюльпан Красный</v>
      </c>
      <c r="E7" s="1">
        <f t="shared" si="1"/>
        <v>350</v>
      </c>
      <c r="F7" s="5" t="s">
        <v>21</v>
      </c>
      <c r="G7" s="7" t="s">
        <v>20</v>
      </c>
      <c r="H7" s="6">
        <f>SUMIFS(C2:C27, A2:A27, "Роза", C2:C27, "&gt;30")</f>
        <v>96</v>
      </c>
    </row>
    <row r="8" spans="1:8" ht="16" x14ac:dyDescent="0.2">
      <c r="A8" s="3" t="s">
        <v>1</v>
      </c>
      <c r="B8" s="3" t="s">
        <v>3</v>
      </c>
      <c r="C8" s="3">
        <v>33</v>
      </c>
      <c r="D8" s="2" t="str">
        <f t="shared" si="0"/>
        <v>Нарцисс Красный</v>
      </c>
      <c r="E8" s="1">
        <f t="shared" si="1"/>
        <v>190</v>
      </c>
      <c r="F8" s="5" t="s">
        <v>19</v>
      </c>
      <c r="G8" s="7" t="s">
        <v>18</v>
      </c>
      <c r="H8" s="9">
        <f>COUNTIF(B2:B27, "Белый")</f>
        <v>2</v>
      </c>
    </row>
    <row r="9" spans="1:8" x14ac:dyDescent="0.2">
      <c r="A9" s="3" t="s">
        <v>5</v>
      </c>
      <c r="B9" s="3" t="s">
        <v>3</v>
      </c>
      <c r="C9" s="3">
        <v>3</v>
      </c>
      <c r="D9" s="2" t="str">
        <f t="shared" si="0"/>
        <v>Тюльпан Красный</v>
      </c>
      <c r="E9" s="1">
        <f t="shared" si="1"/>
        <v>350</v>
      </c>
    </row>
    <row r="10" spans="1:8" x14ac:dyDescent="0.2">
      <c r="A10" s="3" t="s">
        <v>7</v>
      </c>
      <c r="B10" s="3" t="s">
        <v>0</v>
      </c>
      <c r="C10" s="3">
        <v>61</v>
      </c>
      <c r="D10" s="2" t="str">
        <f t="shared" si="0"/>
        <v>Роза Розовый</v>
      </c>
      <c r="E10" s="1">
        <f t="shared" si="1"/>
        <v>250</v>
      </c>
    </row>
    <row r="11" spans="1:8" x14ac:dyDescent="0.2">
      <c r="A11" s="3" t="s">
        <v>17</v>
      </c>
      <c r="B11" s="3" t="s">
        <v>12</v>
      </c>
      <c r="C11" s="3">
        <v>35</v>
      </c>
      <c r="D11" s="2" t="str">
        <f t="shared" si="0"/>
        <v>Пион Белый</v>
      </c>
      <c r="E11" s="1" t="e">
        <f t="shared" si="1"/>
        <v>#N/A</v>
      </c>
    </row>
    <row r="12" spans="1:8" x14ac:dyDescent="0.2">
      <c r="A12" s="3" t="s">
        <v>17</v>
      </c>
      <c r="B12" s="3" t="s">
        <v>3</v>
      </c>
      <c r="C12" s="3">
        <v>59</v>
      </c>
      <c r="D12" s="2" t="str">
        <f t="shared" si="0"/>
        <v>Пион Красный</v>
      </c>
      <c r="E12" s="1" t="e">
        <f t="shared" si="1"/>
        <v>#N/A</v>
      </c>
    </row>
    <row r="13" spans="1:8" x14ac:dyDescent="0.2">
      <c r="A13" s="3" t="s">
        <v>10</v>
      </c>
      <c r="B13" s="3" t="s">
        <v>0</v>
      </c>
      <c r="C13" s="3">
        <v>6</v>
      </c>
      <c r="D13" s="2" t="str">
        <f t="shared" si="0"/>
        <v>Лилия Розовый</v>
      </c>
      <c r="E13" s="1">
        <f t="shared" si="1"/>
        <v>400</v>
      </c>
    </row>
    <row r="14" spans="1:8" x14ac:dyDescent="0.2">
      <c r="A14" s="3" t="s">
        <v>17</v>
      </c>
      <c r="B14" s="3" t="s">
        <v>3</v>
      </c>
      <c r="C14" s="3">
        <v>38</v>
      </c>
      <c r="D14" s="2" t="str">
        <f t="shared" si="0"/>
        <v>Пион Красный</v>
      </c>
      <c r="E14" s="1" t="e">
        <f t="shared" si="1"/>
        <v>#N/A</v>
      </c>
    </row>
    <row r="15" spans="1:8" x14ac:dyDescent="0.2">
      <c r="A15" s="3" t="s">
        <v>9</v>
      </c>
      <c r="B15" s="3" t="s">
        <v>8</v>
      </c>
      <c r="C15" s="3">
        <v>66</v>
      </c>
      <c r="D15" s="2" t="str">
        <f t="shared" si="0"/>
        <v>Орхидея Желтый</v>
      </c>
      <c r="E15" s="1">
        <f t="shared" si="1"/>
        <v>200</v>
      </c>
    </row>
    <row r="16" spans="1:8" ht="16" x14ac:dyDescent="0.2">
      <c r="A16" s="3" t="s">
        <v>5</v>
      </c>
      <c r="B16" s="3" t="s">
        <v>0</v>
      </c>
      <c r="C16" s="3">
        <v>37</v>
      </c>
      <c r="D16" s="2" t="str">
        <f t="shared" si="0"/>
        <v>Тюльпан Розовый</v>
      </c>
      <c r="E16" s="1">
        <f t="shared" si="1"/>
        <v>350</v>
      </c>
      <c r="F16" s="5" t="s">
        <v>16</v>
      </c>
    </row>
    <row r="17" spans="1:7" x14ac:dyDescent="0.2">
      <c r="A17" s="3" t="s">
        <v>11</v>
      </c>
      <c r="B17" s="3" t="s">
        <v>4</v>
      </c>
      <c r="C17" s="3">
        <v>77</v>
      </c>
      <c r="D17" s="2" t="str">
        <f t="shared" si="0"/>
        <v>Гортензия Фиолетовый</v>
      </c>
      <c r="E17" s="1">
        <f t="shared" si="1"/>
        <v>300</v>
      </c>
      <c r="F17" s="4" t="s">
        <v>15</v>
      </c>
      <c r="G17" s="4" t="s">
        <v>14</v>
      </c>
    </row>
    <row r="18" spans="1:7" x14ac:dyDescent="0.2">
      <c r="A18" s="3" t="s">
        <v>5</v>
      </c>
      <c r="B18" s="3" t="s">
        <v>8</v>
      </c>
      <c r="C18" s="3">
        <v>35</v>
      </c>
      <c r="D18" s="2" t="str">
        <f t="shared" si="0"/>
        <v>Тюльпан Желтый</v>
      </c>
      <c r="E18" s="1">
        <f t="shared" si="1"/>
        <v>350</v>
      </c>
      <c r="F18" s="3" t="s">
        <v>13</v>
      </c>
      <c r="G18" s="3">
        <v>100</v>
      </c>
    </row>
    <row r="19" spans="1:7" x14ac:dyDescent="0.2">
      <c r="A19" s="3" t="s">
        <v>2</v>
      </c>
      <c r="B19" s="3" t="s">
        <v>8</v>
      </c>
      <c r="C19" s="3">
        <v>54</v>
      </c>
      <c r="D19" s="2" t="str">
        <f t="shared" si="0"/>
        <v>Фиалка Желтый</v>
      </c>
      <c r="E19" s="1">
        <f t="shared" si="1"/>
        <v>150</v>
      </c>
      <c r="F19" s="3" t="s">
        <v>9</v>
      </c>
      <c r="G19" s="3">
        <v>200</v>
      </c>
    </row>
    <row r="20" spans="1:7" x14ac:dyDescent="0.2">
      <c r="A20" s="3" t="s">
        <v>10</v>
      </c>
      <c r="B20" s="3" t="s">
        <v>12</v>
      </c>
      <c r="C20" s="3">
        <v>79</v>
      </c>
      <c r="D20" s="2" t="str">
        <f t="shared" si="0"/>
        <v>Лилия Белый</v>
      </c>
      <c r="E20" s="1">
        <f t="shared" si="1"/>
        <v>400</v>
      </c>
      <c r="F20" s="3" t="s">
        <v>11</v>
      </c>
      <c r="G20" s="3">
        <v>300</v>
      </c>
    </row>
    <row r="21" spans="1:7" x14ac:dyDescent="0.2">
      <c r="A21" s="3" t="s">
        <v>7</v>
      </c>
      <c r="B21" s="3" t="s">
        <v>0</v>
      </c>
      <c r="C21" s="3">
        <v>21</v>
      </c>
      <c r="D21" s="2" t="str">
        <f t="shared" si="0"/>
        <v>Роза Розовый</v>
      </c>
      <c r="E21" s="1">
        <f t="shared" si="1"/>
        <v>250</v>
      </c>
      <c r="F21" s="3" t="s">
        <v>10</v>
      </c>
      <c r="G21" s="3">
        <v>400</v>
      </c>
    </row>
    <row r="22" spans="1:7" x14ac:dyDescent="0.2">
      <c r="A22" s="3" t="s">
        <v>9</v>
      </c>
      <c r="B22" s="3" t="s">
        <v>8</v>
      </c>
      <c r="C22" s="3">
        <v>53</v>
      </c>
      <c r="D22" s="2" t="str">
        <f t="shared" si="0"/>
        <v>Орхидея Желтый</v>
      </c>
      <c r="E22" s="1">
        <f t="shared" si="1"/>
        <v>200</v>
      </c>
      <c r="F22" s="3" t="s">
        <v>7</v>
      </c>
      <c r="G22" s="3">
        <v>250</v>
      </c>
    </row>
    <row r="23" spans="1:7" x14ac:dyDescent="0.2">
      <c r="A23" s="3" t="s">
        <v>6</v>
      </c>
      <c r="B23" s="3" t="s">
        <v>3</v>
      </c>
      <c r="C23" s="3">
        <v>96</v>
      </c>
      <c r="D23" s="2" t="str">
        <f t="shared" si="0"/>
        <v>Гвоздика Красный</v>
      </c>
      <c r="E23" s="1">
        <f t="shared" si="1"/>
        <v>450</v>
      </c>
      <c r="F23" s="3" t="s">
        <v>5</v>
      </c>
      <c r="G23" s="3">
        <v>350</v>
      </c>
    </row>
    <row r="24" spans="1:7" x14ac:dyDescent="0.2">
      <c r="A24" s="3" t="s">
        <v>6</v>
      </c>
      <c r="B24" s="3" t="s">
        <v>3</v>
      </c>
      <c r="C24" s="3">
        <v>28</v>
      </c>
      <c r="D24" s="2" t="str">
        <f t="shared" si="0"/>
        <v>Гвоздика Красный</v>
      </c>
      <c r="E24" s="1">
        <f t="shared" si="1"/>
        <v>450</v>
      </c>
      <c r="F24" s="3" t="s">
        <v>6</v>
      </c>
      <c r="G24" s="3">
        <v>450</v>
      </c>
    </row>
    <row r="25" spans="1:7" x14ac:dyDescent="0.2">
      <c r="A25" s="3" t="s">
        <v>5</v>
      </c>
      <c r="B25" s="3" t="s">
        <v>4</v>
      </c>
      <c r="C25" s="3">
        <v>60</v>
      </c>
      <c r="D25" s="2" t="str">
        <f t="shared" si="0"/>
        <v>Тюльпан Фиолетовый</v>
      </c>
      <c r="E25" s="1">
        <f t="shared" si="1"/>
        <v>350</v>
      </c>
      <c r="F25" s="3" t="s">
        <v>1</v>
      </c>
      <c r="G25" s="3">
        <v>190</v>
      </c>
    </row>
    <row r="26" spans="1:7" x14ac:dyDescent="0.2">
      <c r="A26" s="3" t="s">
        <v>2</v>
      </c>
      <c r="B26" s="3" t="s">
        <v>3</v>
      </c>
      <c r="C26" s="3">
        <v>52</v>
      </c>
      <c r="D26" s="2" t="str">
        <f t="shared" si="0"/>
        <v>Фиалка Красный</v>
      </c>
      <c r="E26" s="1">
        <f t="shared" si="1"/>
        <v>150</v>
      </c>
      <c r="F26" s="3" t="s">
        <v>2</v>
      </c>
      <c r="G26" s="3">
        <v>150</v>
      </c>
    </row>
    <row r="27" spans="1:7" x14ac:dyDescent="0.2">
      <c r="A27" s="3" t="s">
        <v>1</v>
      </c>
      <c r="B27" s="3" t="s">
        <v>0</v>
      </c>
      <c r="C27" s="3">
        <v>71</v>
      </c>
      <c r="D27" s="2" t="str">
        <f t="shared" si="0"/>
        <v>Нарцисс Розовый</v>
      </c>
      <c r="E27" s="1">
        <f t="shared" si="1"/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Вариант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d34550</dc:creator>
  <cp:lastModifiedBy>d34550</cp:lastModifiedBy>
  <dcterms:created xsi:type="dcterms:W3CDTF">2025-10-26T19:24:21Z</dcterms:created>
  <dcterms:modified xsi:type="dcterms:W3CDTF">2025-10-26T21:23:58Z</dcterms:modified>
</cp:coreProperties>
</file>