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p_tsk99/Downloads/"/>
    </mc:Choice>
  </mc:AlternateContent>
  <xr:revisionPtr revIDLastSave="0" documentId="8_{D8AD85F4-DAF4-1049-A305-32C7E0D711B6}" xr6:coauthVersionLast="47" xr6:coauthVersionMax="47" xr10:uidLastSave="{00000000-0000-0000-0000-000000000000}"/>
  <bookViews>
    <workbookView xWindow="0" yWindow="740" windowWidth="29400" windowHeight="16760" xr2:uid="{A3AAB7CC-481B-EE42-BF70-8C8840E5B26F}"/>
  </bookViews>
  <sheets>
    <sheet name="Лист1" sheetId="1" r:id="rId1"/>
    <sheet name="Лист2" sheetId="2" r:id="rId2"/>
  </sheet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<sst xmlns="http://schemas.openxmlformats.org/spreadsheetml/2006/main" count="153" uniqueCount="50">
  <si>
    <t>Категория</t>
  </si>
  <si>
    <t>Признак</t>
  </si>
  <si>
    <t>Количество</t>
  </si>
  <si>
    <t>Признак Категория</t>
  </si>
  <si>
    <t>Цена</t>
  </si>
  <si>
    <t>Задание:</t>
  </si>
  <si>
    <t>Формулы:</t>
  </si>
  <si>
    <t>Ответ:</t>
  </si>
  <si>
    <t>Чайник</t>
  </si>
  <si>
    <t>Samsung</t>
  </si>
  <si>
    <t>Найдите среднее значение из колонки "Количество"</t>
  </si>
  <si>
    <t>СРЗНАЧ</t>
  </si>
  <si>
    <t>Микроволновка</t>
  </si>
  <si>
    <t>LG</t>
  </si>
  <si>
    <t>Посуммируйте количество из колонки "Количество"</t>
  </si>
  <si>
    <t>СУММ</t>
  </si>
  <si>
    <t>Найдите минимальное значение 10 строк (со 5 по 14) из колонки "Количество"</t>
  </si>
  <si>
    <t>МИН</t>
  </si>
  <si>
    <t>Телевизор</t>
  </si>
  <si>
    <t>Siemens</t>
  </si>
  <si>
    <t>Найдите максимальное значение 10 строк (со 5 по 14) из колонки "Количество"</t>
  </si>
  <si>
    <t>МАКС</t>
  </si>
  <si>
    <t>Пылесос</t>
  </si>
  <si>
    <t>Philips</t>
  </si>
  <si>
    <t>Если значение  11 строки больше чем значение 14 строки, то выведите "Много", если меньше, то "Мало" из колонки "Количество"</t>
  </si>
  <si>
    <t>ЕСЛИ</t>
  </si>
  <si>
    <t>Тостер</t>
  </si>
  <si>
    <t>Просуммируйте количество при условии, что "Категория"="Чайник",  "Признак"="LG"</t>
  </si>
  <si>
    <t>СУММЕСЛИ</t>
  </si>
  <si>
    <t>Кондиционер</t>
  </si>
  <si>
    <t>Посчитайте количество техники 12 строк (со 10 по 20) с признаком "Siemens"</t>
  </si>
  <si>
    <t>СЧЕТЕСЛИ</t>
  </si>
  <si>
    <t>Блендер</t>
  </si>
  <si>
    <t>С помощью функции "ВПР" найдите и запишите цену в столбец "E" для каждой категории, используя справочную таблицу ниже</t>
  </si>
  <si>
    <t>Утюг</t>
  </si>
  <si>
    <t>Bosch</t>
  </si>
  <si>
    <t>Холодильник</t>
  </si>
  <si>
    <t>Somme de Цена</t>
  </si>
  <si>
    <t>Total Somme de Цена</t>
  </si>
  <si>
    <t>Total Moyenne de Количество</t>
  </si>
  <si>
    <t>Moyenne de Количество</t>
  </si>
  <si>
    <t>Total Max. de Количество2</t>
  </si>
  <si>
    <t>Max. de Количество2</t>
  </si>
  <si>
    <t>Total Min. de Количество3</t>
  </si>
  <si>
    <t>Min. de Количество3</t>
  </si>
  <si>
    <t>Общий итог</t>
  </si>
  <si>
    <t>Метки строк</t>
  </si>
  <si>
    <t>Метки столбцов</t>
  </si>
  <si>
    <t>Сумма по Цена</t>
  </si>
  <si>
    <t xml:space="preserve"> Сумма количества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</si>
</sst>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3" borderId="1" xfId="0" applyFill="1" applyBorder="1"/>
    <xf numFmtId="0" fontId="0" fillId="3" borderId="3" xfId="0" applyFill="1" applyBorder="1"/>
    <xf numFmtId="0" fontId="0" fillId="4" borderId="2" xfId="0" applyFill="1" applyBorder="1" applyAlignment="1">
      <alignment wrapText="1"/>
    </xf>
    <xf numFmtId="0" fontId="0" fillId="4" borderId="2" xfId="0" applyFill="1" applyBorder="1"/>
    <xf numFmtId="0" fontId="0" fillId="3" borderId="2" xfId="0" applyFill="1" applyBorder="1"/>
    <xf numFmtId="0" fontId="0" fillId="2" borderId="4" xfId="0" applyFill="1" applyBorder="1"/>
    <xf numFmtId="0" fontId="0" fillId="0" borderId="5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indent="1"/>
    </xf>
    <xf numFmtId="0" fontId="2" fillId="0" borderId="0" xfId="0" applyFont="1"/>
    <xf numFmtId="0" fontId="3" fillId="0" borderId="0" xfId="0" applyFont="1"/>
    <xf numFmtId="0" fontId="0" fillId="0" borderId="1" xfId="0" pivotButton="1" applyFont="1" applyBorder="1"/>
  </cellXfs>
  <cellStyles count="1">
    <cellStyle name="Normal" xfId="0" builtinId="0"/>
  </cellStyles>
  <dxfs count="31">
    <dxf>
      <font>
        <color rgb="FFFF0000"/>
      </font>
    </dxf>
    <dxf>
      <font>
        <color theme="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[exel2_жустин.xlsx]Лист2!Tableau croisé dynamique1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Общая сумма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Лист2!$B$3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E04-6A47-8BBA-D39AAD7EF1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E04-6A47-8BBA-D39AAD7EF1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E04-6A47-8BBA-D39AAD7EF13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E04-6A47-8BBA-D39AAD7EF13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E04-6A47-8BBA-D39AAD7EF13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E04-6A47-8BBA-D39AAD7EF13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E04-6A47-8BBA-D39AAD7EF13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E04-6A47-8BBA-D39AAD7EF13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E04-6A47-8BBA-D39AAD7EF131}"/>
              </c:ext>
            </c:extLst>
          </c:dPt>
          <c:cat>
            <c:strRef>
              <c:f>Лист2!$A$4:$A$13</c:f>
              <c:strCache>
                <c:ptCount val="9"/>
                <c:pt idx="0">
                  <c:v>Блендер</c:v>
                </c:pt>
                <c:pt idx="1">
                  <c:v>Кондиционер</c:v>
                </c:pt>
                <c:pt idx="2">
                  <c:v>Микроволновка</c:v>
                </c:pt>
                <c:pt idx="3">
                  <c:v>Пылесос</c:v>
                </c:pt>
                <c:pt idx="4">
                  <c:v>Телевизор</c:v>
                </c:pt>
                <c:pt idx="5">
                  <c:v>Тостер</c:v>
                </c:pt>
                <c:pt idx="6">
                  <c:v>Утюг</c:v>
                </c:pt>
                <c:pt idx="7">
                  <c:v>Холодильник</c:v>
                </c:pt>
                <c:pt idx="8">
                  <c:v>Чайник</c:v>
                </c:pt>
              </c:strCache>
            </c:strRef>
          </c:cat>
          <c:val>
            <c:numRef>
              <c:f>Лист2!$B$4:$B$13</c:f>
              <c:numCache>
                <c:formatCode>General</c:formatCode>
                <c:ptCount val="9"/>
                <c:pt idx="0">
                  <c:v>68</c:v>
                </c:pt>
                <c:pt idx="1">
                  <c:v>73</c:v>
                </c:pt>
                <c:pt idx="2">
                  <c:v>64</c:v>
                </c:pt>
                <c:pt idx="3">
                  <c:v>73</c:v>
                </c:pt>
                <c:pt idx="4">
                  <c:v>60</c:v>
                </c:pt>
                <c:pt idx="5">
                  <c:v>199</c:v>
                </c:pt>
                <c:pt idx="6">
                  <c:v>98</c:v>
                </c:pt>
                <c:pt idx="7">
                  <c:v>54</c:v>
                </c:pt>
                <c:pt idx="8">
                  <c:v>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88-CD44-A2E0-1FDA88349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Общая сумма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 w="25400">
              <a:solidFill>
                <a:schemeClr val="lt1"/>
              </a:solidFill>
            </a:ln>
            <a:effectLst/>
            <a:sp3d contourW="25400">
              <a:contourClr>
                <a:schemeClr val="lt1"/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B7-8041-ABCB-FA619925DBD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B7-8041-ABCB-FA619925DBD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B7-8041-ABCB-FA619925DBD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B7-8041-ABCB-FA619925DBD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B7-8041-ABCB-FA619925DBD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B7-8041-ABCB-FA619925DBDD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B7-8041-ABCB-FA619925DBDD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B7-8041-ABCB-FA619925DBDD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B7-8041-ABCB-FA619925DBDD}"/>
              </c:ext>
            </c:extLst>
          </c:dPt>
          <c:cat>
            <c:strLit>
              <c:ptCount val="9"/>
              <c:pt idx="0">
                <c:v>Блендер</c:v>
              </c:pt>
              <c:pt idx="1">
                <c:v>Кондиционер</c:v>
              </c:pt>
              <c:pt idx="2">
                <c:v>Микроволновка</c:v>
              </c:pt>
              <c:pt idx="3">
                <c:v>Пылесос</c:v>
              </c:pt>
              <c:pt idx="4">
                <c:v>Телевизор</c:v>
              </c:pt>
              <c:pt idx="5">
                <c:v>Тостер</c:v>
              </c:pt>
              <c:pt idx="6">
                <c:v>Утюг</c:v>
              </c:pt>
              <c:pt idx="7">
                <c:v>Холодильник</c:v>
              </c:pt>
              <c:pt idx="8">
                <c:v>Чайник</c:v>
              </c:pt>
            </c:strLit>
          </c:cat>
          <c:val>
            <c:numLit>
              <c:formatCode>General</c:formatCode>
              <c:ptCount val="9"/>
              <c:pt idx="0">
                <c:v>1000</c:v>
              </c:pt>
              <c:pt idx="1">
                <c:v>960</c:v>
              </c:pt>
              <c:pt idx="2">
                <c:v>1020</c:v>
              </c:pt>
              <c:pt idx="3">
                <c:v>780</c:v>
              </c:pt>
              <c:pt idx="4">
                <c:v>1380</c:v>
              </c:pt>
              <c:pt idx="5">
                <c:v>1650</c:v>
              </c:pt>
              <c:pt idx="6">
                <c:v>600</c:v>
              </c:pt>
              <c:pt idx="7">
                <c:v>900</c:v>
              </c:pt>
              <c:pt idx="8">
                <c:v>600</c:v>
              </c:pt>
            </c:numLit>
          </c:val>
          <c:extLst>
            <c:ext xmlns:c16="http://schemas.microsoft.com/office/drawing/2014/chart" uri="{C3380CC4-5D6E-409C-BE32-E72D297353CC}">
              <c16:uniqueId val="{00000012-7BB7-8041-ABCB-FA619925D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shape val="box"/>
        <c:axId val="323165824"/>
        <c:axId val="323209472"/>
        <c:axId val="0"/>
      </c:bar3DChart>
      <c:catAx>
        <c:axId val="323165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3209472"/>
        <c:auto val="1"/>
        <c:lblAlgn val="ctr"/>
        <c:lblOffset val="100"/>
        <c:noMultiLvlLbl val="0"/>
      </c:catAx>
      <c:valAx>
        <c:axId val="32320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3165824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146050</xdr:colOff>
      <xdr:row>14</xdr:row>
      <xdr:rowOff>120650</xdr:rowOff>
    </xdr:from>
    <xdr:to>
      <xdr:col>3</xdr:col>
      <xdr:colOff>774700</xdr:colOff>
      <xdr:row>29</xdr:row>
      <xdr:rowOff>101600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374C66A3-0BEC-ADF8-BE53-A9602BD3F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800100</xdr:colOff>
      <xdr:row>14</xdr:row>
      <xdr:rowOff>38100</xdr:rowOff>
    </xdr:from>
    <xdr:to>
      <xdr:col>8</xdr:col>
      <xdr:colOff>444500</xdr:colOff>
      <xdr:row>29</xdr:row>
      <xdr:rowOff>12700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D7FEAC96-FFA0-D144-BEEA-C28AE9D850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_tsk99" refreshedDate="45966.451191319444" createdVersion="8" refreshedVersion="8" minRefreshableVersion="3" recordCount="19" xr:uid="{8EFBAB98-2BDE-0C44-B6C4-8152D018D4A9}">
  <cacheSource type="worksheet">
    <worksheetSource ref="A1:E20" sheet="Лист1"/>
  </cacheSource>
  <cacheFields count="5">
    <cacheField name="Категория" numFmtId="0">
      <sharedItems count="9">
        <s v="Чайник"/>
        <s v="Микроволновка"/>
        <s v="Телевизор"/>
        <s v="Пылесос"/>
        <s v="Тостер"/>
        <s v="Кондиционер"/>
        <s v="Блендер"/>
        <s v="Утюг"/>
        <s v="Холодильник"/>
      </sharedItems>
    </cacheField>
    <cacheField name="Признак" numFmtId="0">
      <sharedItems count="5">
        <s v="Samsung"/>
        <s v="LG"/>
        <s v="Siemens"/>
        <s v="Philips"/>
        <s v="Bosch"/>
      </sharedItems>
    </cacheField>
    <cacheField name="Количество" numFmtId="0">
      <sharedItems containsSemiMixedTypes="0" containsString="0" containsNumber="1" containsInteger="1" minValue="4" maxValue="89"/>
    </cacheField>
    <cacheField name="Признак Категория" numFmtId="0">
      <sharedItems/>
    </cacheField>
    <cacheField name="Цена" numFmtId="0">
      <sharedItems containsSemiMixedTypes="0" containsString="0" containsNumber="1" containsInteger="1" minValue="200" maxValue="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x v="0"/>
    <n v="89"/>
    <s v="Samsung Чайник"/>
    <n v="200"/>
  </r>
  <r>
    <x v="1"/>
    <x v="1"/>
    <n v="17"/>
    <s v="LG Микроволновка"/>
    <n v="340"/>
  </r>
  <r>
    <x v="1"/>
    <x v="0"/>
    <n v="29"/>
    <s v="Samsung Микроволновка"/>
    <n v="340"/>
  </r>
  <r>
    <x v="2"/>
    <x v="2"/>
    <n v="56"/>
    <s v="Siemens Телевизор"/>
    <n v="690"/>
  </r>
  <r>
    <x v="3"/>
    <x v="3"/>
    <n v="73"/>
    <s v="Philips Пылесос"/>
    <n v="780"/>
  </r>
  <r>
    <x v="4"/>
    <x v="3"/>
    <n v="57"/>
    <s v="Philips Тостер"/>
    <n v="550"/>
  </r>
  <r>
    <x v="5"/>
    <x v="2"/>
    <n v="46"/>
    <s v="Siemens Кондиционер"/>
    <n v="480"/>
  </r>
  <r>
    <x v="6"/>
    <x v="0"/>
    <n v="6"/>
    <s v="Samsung Блендер"/>
    <n v="500"/>
  </r>
  <r>
    <x v="5"/>
    <x v="2"/>
    <n v="27"/>
    <s v="Siemens Кондиционер"/>
    <n v="480"/>
  </r>
  <r>
    <x v="7"/>
    <x v="1"/>
    <n v="84"/>
    <s v="LG Утюг"/>
    <n v="300"/>
  </r>
  <r>
    <x v="2"/>
    <x v="3"/>
    <n v="4"/>
    <s v="Philips Телевизор"/>
    <n v="690"/>
  </r>
  <r>
    <x v="4"/>
    <x v="4"/>
    <n v="77"/>
    <s v="Bosch Тостер"/>
    <n v="550"/>
  </r>
  <r>
    <x v="6"/>
    <x v="2"/>
    <n v="62"/>
    <s v="Siemens Блендер"/>
    <n v="500"/>
  </r>
  <r>
    <x v="8"/>
    <x v="0"/>
    <n v="54"/>
    <s v="Samsung Холодильник"/>
    <n v="900"/>
  </r>
  <r>
    <x v="1"/>
    <x v="4"/>
    <n v="18"/>
    <s v="Bosch Микроволновка"/>
    <n v="340"/>
  </r>
  <r>
    <x v="0"/>
    <x v="1"/>
    <n v="13"/>
    <s v="LG Чайник"/>
    <n v="200"/>
  </r>
  <r>
    <x v="7"/>
    <x v="2"/>
    <n v="14"/>
    <s v="Siemens Утюг"/>
    <n v="300"/>
  </r>
  <r>
    <x v="4"/>
    <x v="1"/>
    <n v="65"/>
    <s v="LG Тостер"/>
    <n v="550"/>
  </r>
  <r>
    <x v="0"/>
    <x v="1"/>
    <n v="70"/>
    <s v="LG Чайник"/>
    <n v="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315EB3-6B27-F249-ABEE-855A80B2C8B5}" name="Tableau croisé dynamique1" cacheId="2" applyNumberFormats="0" applyBorderFormats="0" applyFontFormats="0" applyPatternFormats="0" applyAlignmentFormats="0" applyWidthHeightFormats="1" dataCaption="Valeurs" grandTotalCaption="Общий итог" updatedVersion="8" minRefreshableVersion="3" useAutoFormatting="1" itemPrintTitles="1" createdVersion="8" indent="0" outline="1" outlineData="1" multipleFieldFilters="0" chartFormat="4" rowHeaderCaption="Метки строк">
  <location ref="A3:B13" firstHeaderRow="1" firstDataRow="1" firstDataCol="1"/>
  <pivotFields count="5">
    <pivotField axis="axisRow" showAll="0">
      <items count="10">
        <item x="6"/>
        <item x="5"/>
        <item x="1"/>
        <item x="3"/>
        <item x="2"/>
        <item x="4"/>
        <item x="7"/>
        <item x="8"/>
        <item x="0"/>
        <item t="default"/>
      </items>
    </pivotField>
    <pivotField showAll="0"/>
    <pivotField dataField="1" showAll="0"/>
    <pivotField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 Сумма количества" fld="2" baseField="0" baseItem="0"/>
  </dataFields>
  <formats count="6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0" type="button" dataOnly="0" labelOnly="1" outline="0" axis="axisRow" fieldPosition="0"/>
    </format>
    <format dxfId="10">
      <pivotArea dataOnly="0" labelOnly="1" fieldPosition="0">
        <references count="1">
          <reference field="0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chartFormats count="10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CFA083-D158-1846-B876-84ED2C386B95}" name="Tableau croisé dynamique8" cacheId="2" dataOnRows="1" applyNumberFormats="0" applyBorderFormats="0" applyFontFormats="0" applyPatternFormats="0" applyAlignmentFormats="0" applyWidthHeightFormats="1" dataCaption="Valeurs" grandTotalCaption="Общий итог" updatedVersion="8" minRefreshableVersion="3" useAutoFormatting="1" itemPrintTitles="1" createdVersion="8" indent="0" outline="1" outlineData="1" multipleFieldFilters="0" chartFormat="2" rowHeaderCaption="Метки строк" colHeaderCaption="Метки столбцов">
  <location ref="K4:Q54" firstHeaderRow="1" firstDataRow="2" firstDataCol="1"/>
  <pivotFields count="5">
    <pivotField axis="axisRow" showAll="0">
      <items count="10">
        <item x="6"/>
        <item x="5"/>
        <item x="1"/>
        <item x="3"/>
        <item x="2"/>
        <item x="4"/>
        <item x="7"/>
        <item x="8"/>
        <item x="0"/>
        <item t="default"/>
      </items>
    </pivotField>
    <pivotField axis="axisCol" showAll="0">
      <items count="6">
        <item x="4"/>
        <item x="1"/>
        <item x="3"/>
        <item x="0"/>
        <item x="2"/>
        <item t="default"/>
      </items>
    </pivotField>
    <pivotField dataField="1" showAll="0"/>
    <pivotField showAll="0"/>
    <pivotField dataField="1" showAll="0"/>
  </pivotFields>
  <rowFields count="2">
    <field x="0"/>
    <field x="-2"/>
  </rowFields>
  <rowItems count="49">
    <i>
      <x/>
    </i>
    <i r="1">
      <x/>
    </i>
    <i r="1" i="1">
      <x v="1"/>
    </i>
    <i r="1" i="2">
      <x v="2"/>
    </i>
    <i r="1" i="3">
      <x v="3"/>
    </i>
    <i>
      <x v="1"/>
    </i>
    <i r="1">
      <x/>
    </i>
    <i r="1" i="1">
      <x v="1"/>
    </i>
    <i r="1" i="2">
      <x v="2"/>
    </i>
    <i r="1" i="3">
      <x v="3"/>
    </i>
    <i>
      <x v="2"/>
    </i>
    <i r="1">
      <x/>
    </i>
    <i r="1" i="1">
      <x v="1"/>
    </i>
    <i r="1" i="2">
      <x v="2"/>
    </i>
    <i r="1" i="3">
      <x v="3"/>
    </i>
    <i>
      <x v="3"/>
    </i>
    <i r="1">
      <x/>
    </i>
    <i r="1" i="1">
      <x v="1"/>
    </i>
    <i r="1" i="2">
      <x v="2"/>
    </i>
    <i r="1" i="3">
      <x v="3"/>
    </i>
    <i>
      <x v="4"/>
    </i>
    <i r="1">
      <x/>
    </i>
    <i r="1" i="1">
      <x v="1"/>
    </i>
    <i r="1" i="2">
      <x v="2"/>
    </i>
    <i r="1" i="3">
      <x v="3"/>
    </i>
    <i>
      <x v="5"/>
    </i>
    <i r="1">
      <x/>
    </i>
    <i r="1" i="1">
      <x v="1"/>
    </i>
    <i r="1" i="2">
      <x v="2"/>
    </i>
    <i r="1" i="3">
      <x v="3"/>
    </i>
    <i>
      <x v="6"/>
    </i>
    <i r="1">
      <x/>
    </i>
    <i r="1" i="1">
      <x v="1"/>
    </i>
    <i r="1" i="2">
      <x v="2"/>
    </i>
    <i r="1" i="3">
      <x v="3"/>
    </i>
    <i>
      <x v="7"/>
    </i>
    <i r="1">
      <x/>
    </i>
    <i r="1" i="1">
      <x v="1"/>
    </i>
    <i r="1" i="2">
      <x v="2"/>
    </i>
    <i r="1" i="3">
      <x v="3"/>
    </i>
    <i>
      <x v="8"/>
    </i>
    <i r="1"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4">
    <dataField name="Moyenne de Количество" fld="2" subtotal="average" baseField="0" baseItem="0"/>
    <dataField name="Somme de Цена" fld="4" baseField="0" baseItem="0"/>
    <dataField name="Max. de Количество2" fld="2" subtotal="max" baseField="0" baseItem="0"/>
    <dataField name="Min. de Количество3" fld="2" subtotal="min" baseField="0" baseItem="0"/>
  </dataFields>
  <formats count="11">
    <format dxfId="24">
      <pivotArea type="all" dataOnly="0" outline="0" fieldPosition="0"/>
    </format>
    <format dxfId="23">
      <pivotArea outline="0" collapsedLevelsAreSubtotals="1" fieldPosition="0"/>
    </format>
    <format dxfId="22">
      <pivotArea type="origin" dataOnly="0" labelOnly="1" outline="0" fieldPosition="0"/>
    </format>
    <format dxfId="21">
      <pivotArea field="0" type="button" dataOnly="0" labelOnly="1" outline="0" axis="axisRow" fieldPosition="0"/>
    </format>
    <format dxfId="20">
      <pivotArea type="topRight" dataOnly="0" labelOnly="1" outline="0" fieldPosition="0"/>
    </format>
    <format dxfId="19">
      <pivotArea field="1" type="button" dataOnly="0" labelOnly="1" outline="0" axis="axisCol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grandRow="1" outline="0" fieldPosition="0"/>
    </format>
    <format dxfId="16">
      <pivotArea dataOnly="0" labelOnly="1" fieldPosition="0">
        <references count="1">
          <reference field="0" count="0"/>
        </references>
      </pivotArea>
    </format>
    <format dxfId="15">
      <pivotArea dataOnly="0" labelOnly="1" grandCol="1" outline="0" fieldPosition="0"/>
    </format>
    <format dxfId="14">
      <pivotArea type="all" dataOnly="0" outline="0" fieldPosition="0"/>
    </format>
  </format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3DDF48-D722-754C-A289-366B964EE423}" name="Tableau croisé dynamique6" cacheId="2" applyNumberFormats="0" applyBorderFormats="0" applyFontFormats="0" applyPatternFormats="0" applyAlignmentFormats="0" applyWidthHeightFormats="1" dataCaption="Valeurs" grandTotalCaption="Общий итог" updatedVersion="8" minRefreshableVersion="3" useAutoFormatting="1" itemPrintTitles="1" createdVersion="8" indent="0" outline="1" outlineData="1" multipleFieldFilters="0" chartFormat="3" rowHeaderCaption="Метки строк">
  <location ref="F3:G13" firstHeaderRow="1" firstDataRow="1" firstDataCol="1"/>
  <pivotFields count="5">
    <pivotField axis="axisRow" showAll="0">
      <items count="10">
        <item x="6"/>
        <item x="5"/>
        <item x="1"/>
        <item x="3"/>
        <item x="2"/>
        <item x="4"/>
        <item x="7"/>
        <item x="8"/>
        <item x="0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Сумма по Цена" fld="4" baseField="0" baseItem="0"/>
  </dataFields>
  <formats count="7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0" type="button" dataOnly="0" labelOnly="1" outline="0" axis="axisRow" fieldPosition="0"/>
    </format>
    <format dxfId="27">
      <pivotArea dataOnly="0" labelOnly="1" fieldPosition="0">
        <references count="1">
          <reference field="0" count="0"/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  <format dxfId="1">
      <pivotArea field="0" type="button" dataOnly="0" labelOnly="1" outline="0" axis="axisRow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D6DA-DD44-0D4D-BBF0-EEDD38826401}">
  <dimension ref="A1:H21"/>
  <sheetViews>
    <sheetView tabSelected="1" zoomScale="75" workbookViewId="0">
      <selection activeCell="C45" sqref="C45"/>
    </sheetView>
  </sheetViews>
  <sheetFormatPr baseColWidth="10" defaultRowHeight="16" x14ac:dyDescent="0.2"/>
  <cols>
    <col min="1" max="1" width="20.1640625" customWidth="1"/>
    <col min="2" max="2" width="17.5" customWidth="1"/>
    <col min="3" max="3" width="17.83203125" customWidth="1"/>
    <col min="4" max="4" width="38.5" customWidth="1"/>
    <col min="5" max="5" width="24" customWidth="1"/>
    <col min="6" max="6" width="118" bestFit="1" customWidth="1"/>
    <col min="7" max="7" width="30.6640625" customWidth="1"/>
    <col min="8" max="8" width="12.8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8" ht="17" x14ac:dyDescent="0.2">
      <c r="A2" s="3" t="s">
        <v>8</v>
      </c>
      <c r="B2" s="3" t="s">
        <v>9</v>
      </c>
      <c r="C2" s="3">
        <v>89</v>
      </c>
      <c r="D2" s="4" t="str">
        <f>B2&amp;" "&amp;A2</f>
        <v>Samsung Чайник</v>
      </c>
      <c r="E2" s="5">
        <f>VLOOKUP(A2,F:H,2,0)</f>
        <v>200</v>
      </c>
      <c r="F2" s="6" t="s">
        <v>10</v>
      </c>
      <c r="G2" s="7" t="s">
        <v>11</v>
      </c>
      <c r="H2" s="8">
        <f>AVERAGE(C2:C20)</f>
        <v>45.315789473684212</v>
      </c>
    </row>
    <row r="3" spans="1:8" ht="17" x14ac:dyDescent="0.2">
      <c r="A3" s="3" t="s">
        <v>12</v>
      </c>
      <c r="B3" s="3" t="s">
        <v>13</v>
      </c>
      <c r="C3" s="3">
        <v>17</v>
      </c>
      <c r="D3" s="4" t="str">
        <f t="shared" ref="D3:D20" si="0">B3&amp;" "&amp;A3</f>
        <v>LG Микроволновка</v>
      </c>
      <c r="E3" s="5">
        <f t="shared" ref="E3:E20" si="1">VLOOKUP(A3,F:H,2,0)</f>
        <v>340</v>
      </c>
      <c r="F3" s="6" t="s">
        <v>14</v>
      </c>
      <c r="G3" s="7" t="s">
        <v>15</v>
      </c>
      <c r="H3" s="8">
        <f>SUM(C2:C20)</f>
        <v>861</v>
      </c>
    </row>
    <row r="4" spans="1:8" ht="17" x14ac:dyDescent="0.2">
      <c r="A4" s="3" t="s">
        <v>12</v>
      </c>
      <c r="B4" s="3" t="s">
        <v>9</v>
      </c>
      <c r="C4" s="3">
        <v>29</v>
      </c>
      <c r="D4" s="4" t="str">
        <f t="shared" si="0"/>
        <v>Samsung Микроволновка</v>
      </c>
      <c r="E4" s="5">
        <f t="shared" si="1"/>
        <v>340</v>
      </c>
      <c r="F4" s="6" t="s">
        <v>16</v>
      </c>
      <c r="G4" s="7" t="s">
        <v>17</v>
      </c>
      <c r="H4" s="8">
        <f>MIN(C:C)</f>
        <v>4</v>
      </c>
    </row>
    <row r="5" spans="1:8" ht="17" x14ac:dyDescent="0.2">
      <c r="A5" s="3" t="s">
        <v>18</v>
      </c>
      <c r="B5" s="3" t="s">
        <v>19</v>
      </c>
      <c r="C5" s="3">
        <v>56</v>
      </c>
      <c r="D5" s="4" t="str">
        <f t="shared" si="0"/>
        <v>Siemens Телевизор</v>
      </c>
      <c r="E5" s="5">
        <f t="shared" si="1"/>
        <v>690</v>
      </c>
      <c r="F5" s="6" t="s">
        <v>20</v>
      </c>
      <c r="G5" s="7" t="s">
        <v>21</v>
      </c>
      <c r="H5" s="8">
        <f>MAX(C2:C20)</f>
        <v>89</v>
      </c>
    </row>
    <row r="6" spans="1:8" ht="17" x14ac:dyDescent="0.2">
      <c r="A6" s="3" t="s">
        <v>22</v>
      </c>
      <c r="B6" s="3" t="s">
        <v>23</v>
      </c>
      <c r="C6" s="3">
        <v>73</v>
      </c>
      <c r="D6" s="4" t="str">
        <f t="shared" si="0"/>
        <v>Philips Пылесос</v>
      </c>
      <c r="E6" s="5">
        <f t="shared" si="1"/>
        <v>780</v>
      </c>
      <c r="F6" s="6" t="s">
        <v>24</v>
      </c>
      <c r="G6" s="7" t="s">
        <v>25</v>
      </c>
      <c r="H6" s="8" t="str">
        <f>IF(C11&gt;C14, "Много", "Мало")</f>
        <v>Много</v>
      </c>
    </row>
    <row r="7" spans="1:8" ht="17" x14ac:dyDescent="0.2">
      <c r="A7" s="3" t="s">
        <v>26</v>
      </c>
      <c r="B7" s="3" t="s">
        <v>23</v>
      </c>
      <c r="C7" s="3">
        <v>57</v>
      </c>
      <c r="D7" s="4" t="str">
        <f t="shared" si="0"/>
        <v>Philips Тостер</v>
      </c>
      <c r="E7" s="5">
        <f t="shared" si="1"/>
        <v>550</v>
      </c>
      <c r="F7" s="6" t="s">
        <v>27</v>
      </c>
      <c r="G7" s="7" t="s">
        <v>28</v>
      </c>
      <c r="H7" s="8">
        <f>SUMIFS(C2:C20, A2:A20, "Чайник", B2:B20, "LG")</f>
        <v>83</v>
      </c>
    </row>
    <row r="8" spans="1:8" ht="17" x14ac:dyDescent="0.2">
      <c r="A8" s="3" t="s">
        <v>29</v>
      </c>
      <c r="B8" s="3" t="s">
        <v>19</v>
      </c>
      <c r="C8" s="3">
        <v>46</v>
      </c>
      <c r="D8" s="4" t="str">
        <f t="shared" si="0"/>
        <v>Siemens Кондиционер</v>
      </c>
      <c r="E8" s="5">
        <f t="shared" si="1"/>
        <v>480</v>
      </c>
      <c r="F8" s="6" t="s">
        <v>30</v>
      </c>
      <c r="G8" s="7" t="s">
        <v>31</v>
      </c>
      <c r="H8" s="8">
        <f>COUNTIF(B10:B20, "Siemens")</f>
        <v>3</v>
      </c>
    </row>
    <row r="9" spans="1:8" ht="17" customHeight="1" x14ac:dyDescent="0.2">
      <c r="A9" s="3" t="s">
        <v>32</v>
      </c>
      <c r="B9" s="3" t="s">
        <v>9</v>
      </c>
      <c r="C9" s="3">
        <v>6</v>
      </c>
      <c r="D9" s="4" t="str">
        <f t="shared" si="0"/>
        <v>Samsung Блендер</v>
      </c>
      <c r="E9" s="5">
        <f t="shared" si="1"/>
        <v>500</v>
      </c>
    </row>
    <row r="10" spans="1:8" ht="15" customHeight="1" x14ac:dyDescent="0.2">
      <c r="A10" s="3" t="s">
        <v>29</v>
      </c>
      <c r="B10" s="3" t="s">
        <v>19</v>
      </c>
      <c r="C10" s="3">
        <v>27</v>
      </c>
      <c r="D10" s="4" t="str">
        <f t="shared" si="0"/>
        <v>Siemens Кондиционер</v>
      </c>
      <c r="E10" s="5">
        <f t="shared" si="1"/>
        <v>480</v>
      </c>
      <c r="F10" s="6" t="s">
        <v>33</v>
      </c>
    </row>
    <row r="11" spans="1:8" x14ac:dyDescent="0.2">
      <c r="A11" s="3" t="s">
        <v>34</v>
      </c>
      <c r="B11" s="3" t="s">
        <v>13</v>
      </c>
      <c r="C11" s="3">
        <v>84</v>
      </c>
      <c r="D11" s="4" t="str">
        <f t="shared" si="0"/>
        <v>LG Утюг</v>
      </c>
      <c r="E11" s="5">
        <f t="shared" si="1"/>
        <v>300</v>
      </c>
      <c r="F11" s="9" t="s">
        <v>0</v>
      </c>
      <c r="G11" s="1" t="s">
        <v>4</v>
      </c>
    </row>
    <row r="12" spans="1:8" x14ac:dyDescent="0.2">
      <c r="A12" s="3" t="s">
        <v>18</v>
      </c>
      <c r="B12" s="3" t="s">
        <v>23</v>
      </c>
      <c r="C12" s="3">
        <v>4</v>
      </c>
      <c r="D12" s="4" t="str">
        <f t="shared" si="0"/>
        <v>Philips Телевизор</v>
      </c>
      <c r="E12" s="5">
        <f t="shared" si="1"/>
        <v>690</v>
      </c>
      <c r="F12" s="3" t="s">
        <v>8</v>
      </c>
      <c r="G12" s="3">
        <v>200</v>
      </c>
    </row>
    <row r="13" spans="1:8" x14ac:dyDescent="0.2">
      <c r="A13" s="3" t="s">
        <v>26</v>
      </c>
      <c r="B13" s="3" t="s">
        <v>35</v>
      </c>
      <c r="C13" s="3">
        <v>77</v>
      </c>
      <c r="D13" s="4" t="str">
        <f t="shared" si="0"/>
        <v>Bosch Тостер</v>
      </c>
      <c r="E13" s="5">
        <f t="shared" si="1"/>
        <v>550</v>
      </c>
      <c r="F13" s="3" t="s">
        <v>12</v>
      </c>
      <c r="G13" s="3">
        <v>340</v>
      </c>
    </row>
    <row r="14" spans="1:8" x14ac:dyDescent="0.2">
      <c r="A14" s="3" t="s">
        <v>32</v>
      </c>
      <c r="B14" s="3" t="s">
        <v>19</v>
      </c>
      <c r="C14" s="3">
        <v>62</v>
      </c>
      <c r="D14" s="4" t="str">
        <f t="shared" si="0"/>
        <v>Siemens Блендер</v>
      </c>
      <c r="E14" s="5">
        <f t="shared" si="1"/>
        <v>500</v>
      </c>
      <c r="F14" s="3" t="s">
        <v>18</v>
      </c>
      <c r="G14" s="3">
        <v>690</v>
      </c>
    </row>
    <row r="15" spans="1:8" x14ac:dyDescent="0.2">
      <c r="A15" s="3" t="s">
        <v>36</v>
      </c>
      <c r="B15" s="3" t="s">
        <v>9</v>
      </c>
      <c r="C15" s="3">
        <v>54</v>
      </c>
      <c r="D15" s="4" t="str">
        <f t="shared" si="0"/>
        <v>Samsung Холодильник</v>
      </c>
      <c r="E15" s="5">
        <f t="shared" si="1"/>
        <v>900</v>
      </c>
      <c r="F15" s="3" t="s">
        <v>22</v>
      </c>
      <c r="G15" s="3">
        <v>780</v>
      </c>
    </row>
    <row r="16" spans="1:8" x14ac:dyDescent="0.2">
      <c r="A16" s="3" t="s">
        <v>12</v>
      </c>
      <c r="B16" s="3" t="s">
        <v>35</v>
      </c>
      <c r="C16" s="3">
        <v>18</v>
      </c>
      <c r="D16" s="4" t="str">
        <f t="shared" si="0"/>
        <v>Bosch Микроволновка</v>
      </c>
      <c r="E16" s="5">
        <f t="shared" si="1"/>
        <v>340</v>
      </c>
      <c r="F16" s="3" t="s">
        <v>26</v>
      </c>
      <c r="G16" s="3">
        <v>550</v>
      </c>
    </row>
    <row r="17" spans="1:7" x14ac:dyDescent="0.2">
      <c r="A17" s="3" t="s">
        <v>8</v>
      </c>
      <c r="B17" s="3" t="s">
        <v>13</v>
      </c>
      <c r="C17" s="3">
        <v>13</v>
      </c>
      <c r="D17" s="4" t="str">
        <f t="shared" si="0"/>
        <v>LG Чайник</v>
      </c>
      <c r="E17" s="5">
        <f t="shared" si="1"/>
        <v>200</v>
      </c>
      <c r="F17" s="3" t="s">
        <v>29</v>
      </c>
      <c r="G17" s="3">
        <v>480</v>
      </c>
    </row>
    <row r="18" spans="1:7" x14ac:dyDescent="0.2">
      <c r="A18" s="3" t="s">
        <v>34</v>
      </c>
      <c r="B18" s="3" t="s">
        <v>19</v>
      </c>
      <c r="C18" s="3">
        <v>14</v>
      </c>
      <c r="D18" s="4" t="str">
        <f t="shared" si="0"/>
        <v>Siemens Утюг</v>
      </c>
      <c r="E18" s="5">
        <f t="shared" si="1"/>
        <v>300</v>
      </c>
      <c r="F18" s="3" t="s">
        <v>32</v>
      </c>
      <c r="G18" s="3">
        <v>500</v>
      </c>
    </row>
    <row r="19" spans="1:7" x14ac:dyDescent="0.2">
      <c r="A19" s="3" t="s">
        <v>26</v>
      </c>
      <c r="B19" s="3" t="s">
        <v>13</v>
      </c>
      <c r="C19" s="3">
        <v>65</v>
      </c>
      <c r="D19" s="4" t="str">
        <f t="shared" si="0"/>
        <v>LG Тостер</v>
      </c>
      <c r="E19" s="5">
        <f t="shared" si="1"/>
        <v>550</v>
      </c>
      <c r="F19" s="3" t="s">
        <v>34</v>
      </c>
      <c r="G19" s="3">
        <v>300</v>
      </c>
    </row>
    <row r="20" spans="1:7" x14ac:dyDescent="0.2">
      <c r="A20" s="3" t="s">
        <v>8</v>
      </c>
      <c r="B20" s="3" t="s">
        <v>13</v>
      </c>
      <c r="C20" s="3">
        <v>70</v>
      </c>
      <c r="D20" s="4" t="str">
        <f t="shared" si="0"/>
        <v>LG Чайник</v>
      </c>
      <c r="E20" s="5">
        <f t="shared" si="1"/>
        <v>200</v>
      </c>
      <c r="F20" s="3" t="s">
        <v>36</v>
      </c>
      <c r="G20" s="3">
        <v>900</v>
      </c>
    </row>
    <row r="21" spans="1:7" x14ac:dyDescent="0.2">
      <c r="G21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022D3-985A-B54A-8B78-4B7225479C86}">
  <dimension ref="A3:AB54"/>
  <sheetViews>
    <sheetView zoomScaleNormal="100" workbookViewId="0">
      <selection activeCell="U6" sqref="U6"/>
    </sheetView>
  </sheetViews>
  <sheetFormatPr baseColWidth="10" defaultRowHeight="16" x14ac:dyDescent="0.2"/>
  <cols>
    <col min="1" max="1" width="20" bestFit="1" customWidth="1"/>
    <col min="2" max="2" width="20.5" bestFit="1" customWidth="1"/>
    <col min="6" max="6" width="20" bestFit="1" customWidth="1"/>
    <col min="7" max="7" width="14.6640625" bestFit="1" customWidth="1"/>
    <col min="11" max="11" width="26.33203125" bestFit="1" customWidth="1"/>
    <col min="12" max="12" width="22.83203125" bestFit="1" customWidth="1"/>
    <col min="13" max="13" width="5.1640625" bestFit="1" customWidth="1"/>
    <col min="14" max="14" width="12.1640625" bestFit="1" customWidth="1"/>
    <col min="15" max="15" width="8.83203125" bestFit="1" customWidth="1"/>
    <col min="16" max="16" width="8.33203125" bestFit="1" customWidth="1"/>
    <col min="17" max="17" width="12.1640625" bestFit="1" customWidth="1"/>
    <col min="18" max="18" width="5.1640625" bestFit="1" customWidth="1"/>
    <col min="19" max="19" width="6.83203125" bestFit="1" customWidth="1"/>
    <col min="20" max="20" width="8.83203125" bestFit="1" customWidth="1"/>
    <col min="21" max="21" width="8.33203125" bestFit="1" customWidth="1"/>
    <col min="22" max="22" width="19.1640625" bestFit="1" customWidth="1"/>
    <col min="23" max="23" width="3.5" bestFit="1" customWidth="1"/>
    <col min="24" max="24" width="6.83203125" bestFit="1" customWidth="1"/>
    <col min="25" max="25" width="8.83203125" bestFit="1" customWidth="1"/>
    <col min="26" max="26" width="8.33203125" bestFit="1" customWidth="1"/>
    <col min="27" max="27" width="18.83203125" bestFit="1" customWidth="1"/>
    <col min="28" max="28" width="3.5" bestFit="1" customWidth="1"/>
    <col min="29" max="29" width="6.83203125" bestFit="1" customWidth="1"/>
    <col min="30" max="30" width="8.83203125" bestFit="1" customWidth="1"/>
    <col min="31" max="31" width="8.33203125" bestFit="1" customWidth="1"/>
    <col min="32" max="32" width="26.33203125" bestFit="1" customWidth="1"/>
    <col min="33" max="33" width="19.33203125" bestFit="1" customWidth="1"/>
    <col min="34" max="34" width="23.83203125" bestFit="1" customWidth="1"/>
    <col min="35" max="35" width="23.5" bestFit="1" customWidth="1"/>
    <col min="36" max="38" width="22" bestFit="1" customWidth="1"/>
    <col min="39" max="39" width="24.5" bestFit="1" customWidth="1"/>
    <col min="40" max="40" width="17.5" bestFit="1" customWidth="1"/>
    <col min="41" max="41" width="21.83203125" bestFit="1" customWidth="1"/>
    <col min="42" max="42" width="21.5" bestFit="1" customWidth="1"/>
    <col min="43" max="54" width="22" bestFit="1" customWidth="1"/>
    <col min="55" max="55" width="28.1640625" bestFit="1" customWidth="1"/>
    <col min="56" max="56" width="21" bestFit="1" customWidth="1"/>
    <col min="57" max="57" width="25.33203125" bestFit="1" customWidth="1"/>
    <col min="58" max="58" width="25" bestFit="1" customWidth="1"/>
    <col min="59" max="74" width="22" bestFit="1" customWidth="1"/>
    <col min="75" max="75" width="30" bestFit="1" customWidth="1"/>
    <col min="76" max="76" width="23" bestFit="1" customWidth="1"/>
    <col min="77" max="77" width="27.5" bestFit="1" customWidth="1"/>
    <col min="78" max="78" width="27.1640625" bestFit="1" customWidth="1"/>
    <col min="79" max="94" width="22" bestFit="1" customWidth="1"/>
    <col min="95" max="95" width="29.6640625" bestFit="1" customWidth="1"/>
    <col min="96" max="96" width="22.6640625" bestFit="1" customWidth="1"/>
    <col min="97" max="97" width="27" bestFit="1" customWidth="1"/>
    <col min="98" max="98" width="26.6640625" bestFit="1" customWidth="1"/>
    <col min="99" max="99" width="26.33203125" bestFit="1" customWidth="1"/>
    <col min="100" max="100" width="19.33203125" bestFit="1" customWidth="1"/>
    <col min="101" max="101" width="23.83203125" bestFit="1" customWidth="1"/>
    <col min="102" max="102" width="23.5" bestFit="1" customWidth="1"/>
  </cols>
  <sheetData>
    <row r="3" spans="1:28" x14ac:dyDescent="0.2">
      <c r="A3" s="11" t="s">
        <v>46</v>
      </c>
      <c r="B3" s="3" t="s">
        <v>49</v>
      </c>
      <c r="F3" s="16" t="s">
        <v>46</v>
      </c>
      <c r="G3" s="3" t="s">
        <v>48</v>
      </c>
    </row>
    <row r="4" spans="1:28" x14ac:dyDescent="0.2">
      <c r="A4" s="12" t="s">
        <v>32</v>
      </c>
      <c r="B4" s="3">
        <v>68</v>
      </c>
      <c r="F4" s="12" t="s">
        <v>32</v>
      </c>
      <c r="G4" s="3">
        <v>1000</v>
      </c>
      <c r="K4" s="3"/>
      <c r="L4" s="11" t="s">
        <v>47</v>
      </c>
      <c r="M4" s="3"/>
      <c r="N4" s="3"/>
      <c r="O4" s="3"/>
      <c r="P4" s="3"/>
      <c r="Q4" s="3"/>
      <c r="V4" s="14"/>
      <c r="W4" s="14"/>
      <c r="X4" s="14"/>
      <c r="Y4" s="14"/>
      <c r="Z4" s="14"/>
      <c r="AA4" s="14"/>
      <c r="AB4" s="14"/>
    </row>
    <row r="5" spans="1:28" x14ac:dyDescent="0.2">
      <c r="A5" s="12" t="s">
        <v>29</v>
      </c>
      <c r="B5" s="3">
        <v>73</v>
      </c>
      <c r="F5" s="12" t="s">
        <v>29</v>
      </c>
      <c r="G5" s="3">
        <v>960</v>
      </c>
      <c r="K5" s="11" t="s">
        <v>46</v>
      </c>
      <c r="L5" s="3" t="s">
        <v>35</v>
      </c>
      <c r="M5" s="3" t="s">
        <v>13</v>
      </c>
      <c r="N5" s="3" t="s">
        <v>23</v>
      </c>
      <c r="O5" s="3" t="s">
        <v>9</v>
      </c>
      <c r="P5" s="3" t="s">
        <v>19</v>
      </c>
      <c r="Q5" s="3" t="s">
        <v>45</v>
      </c>
      <c r="V5" s="15"/>
      <c r="W5" s="15"/>
      <c r="X5" s="15"/>
      <c r="Y5" s="15"/>
      <c r="Z5" s="15"/>
      <c r="AA5" s="15"/>
      <c r="AB5" s="15"/>
    </row>
    <row r="6" spans="1:28" x14ac:dyDescent="0.2">
      <c r="A6" s="12" t="s">
        <v>12</v>
      </c>
      <c r="B6" s="3">
        <v>64</v>
      </c>
      <c r="F6" s="12" t="s">
        <v>12</v>
      </c>
      <c r="G6" s="3">
        <v>1020</v>
      </c>
      <c r="K6" s="3" t="s">
        <v>32</v>
      </c>
      <c r="L6" s="3"/>
      <c r="M6" s="3"/>
      <c r="N6" s="3"/>
      <c r="O6" s="3"/>
      <c r="P6" s="3"/>
      <c r="Q6" s="3"/>
      <c r="V6" s="15"/>
      <c r="W6" s="15"/>
      <c r="X6" s="15"/>
      <c r="Y6" s="15"/>
      <c r="Z6" s="15"/>
      <c r="AA6" s="15"/>
      <c r="AB6" s="15"/>
    </row>
    <row r="7" spans="1:28" x14ac:dyDescent="0.2">
      <c r="A7" s="12" t="s">
        <v>22</v>
      </c>
      <c r="B7" s="3">
        <v>73</v>
      </c>
      <c r="F7" s="12" t="s">
        <v>22</v>
      </c>
      <c r="G7" s="3">
        <v>780</v>
      </c>
      <c r="K7" s="13" t="s">
        <v>40</v>
      </c>
      <c r="L7" s="3"/>
      <c r="M7" s="3"/>
      <c r="N7" s="3"/>
      <c r="O7" s="3">
        <v>6</v>
      </c>
      <c r="P7" s="3">
        <v>62</v>
      </c>
      <c r="Q7" s="3">
        <v>34</v>
      </c>
      <c r="V7" s="15"/>
      <c r="W7" s="15"/>
      <c r="X7" s="15"/>
      <c r="Y7" s="15"/>
      <c r="Z7" s="15"/>
      <c r="AA7" s="15"/>
      <c r="AB7" s="15"/>
    </row>
    <row r="8" spans="1:28" x14ac:dyDescent="0.2">
      <c r="A8" s="12" t="s">
        <v>18</v>
      </c>
      <c r="B8" s="3">
        <v>60</v>
      </c>
      <c r="F8" s="12" t="s">
        <v>18</v>
      </c>
      <c r="G8" s="3">
        <v>1380</v>
      </c>
      <c r="K8" s="13" t="s">
        <v>37</v>
      </c>
      <c r="L8" s="3"/>
      <c r="M8" s="3"/>
      <c r="N8" s="3"/>
      <c r="O8" s="3">
        <v>500</v>
      </c>
      <c r="P8" s="3">
        <v>500</v>
      </c>
      <c r="Q8" s="3">
        <v>1000</v>
      </c>
      <c r="V8" s="15"/>
      <c r="W8" s="15"/>
      <c r="X8" s="15"/>
      <c r="Y8" s="15"/>
      <c r="Z8" s="15"/>
      <c r="AA8" s="15"/>
      <c r="AB8" s="15"/>
    </row>
    <row r="9" spans="1:28" x14ac:dyDescent="0.2">
      <c r="A9" s="12" t="s">
        <v>26</v>
      </c>
      <c r="B9" s="3">
        <v>199</v>
      </c>
      <c r="F9" s="12" t="s">
        <v>26</v>
      </c>
      <c r="G9" s="3">
        <v>1650</v>
      </c>
      <c r="K9" s="13" t="s">
        <v>42</v>
      </c>
      <c r="L9" s="3"/>
      <c r="M9" s="3"/>
      <c r="N9" s="3"/>
      <c r="O9" s="3">
        <v>6</v>
      </c>
      <c r="P9" s="3">
        <v>62</v>
      </c>
      <c r="Q9" s="3">
        <v>62</v>
      </c>
      <c r="V9" s="15"/>
      <c r="W9" s="15"/>
      <c r="X9" s="15"/>
      <c r="Y9" s="15"/>
      <c r="Z9" s="15"/>
      <c r="AA9" s="15"/>
      <c r="AB9" s="15"/>
    </row>
    <row r="10" spans="1:28" x14ac:dyDescent="0.2">
      <c r="A10" s="12" t="s">
        <v>34</v>
      </c>
      <c r="B10" s="3">
        <v>98</v>
      </c>
      <c r="F10" s="12" t="s">
        <v>34</v>
      </c>
      <c r="G10" s="3">
        <v>600</v>
      </c>
      <c r="K10" s="13" t="s">
        <v>44</v>
      </c>
      <c r="L10" s="3"/>
      <c r="M10" s="3"/>
      <c r="N10" s="3"/>
      <c r="O10" s="3">
        <v>6</v>
      </c>
      <c r="P10" s="3">
        <v>62</v>
      </c>
      <c r="Q10" s="3">
        <v>6</v>
      </c>
      <c r="V10" s="15"/>
      <c r="W10" s="15"/>
      <c r="X10" s="15"/>
      <c r="Y10" s="15"/>
      <c r="Z10" s="15"/>
      <c r="AA10" s="15"/>
      <c r="AB10" s="15"/>
    </row>
    <row r="11" spans="1:28" x14ac:dyDescent="0.2">
      <c r="A11" s="12" t="s">
        <v>36</v>
      </c>
      <c r="B11" s="3">
        <v>54</v>
      </c>
      <c r="F11" s="12" t="s">
        <v>36</v>
      </c>
      <c r="G11" s="3">
        <v>900</v>
      </c>
      <c r="K11" s="3" t="s">
        <v>29</v>
      </c>
      <c r="L11" s="3"/>
      <c r="M11" s="3"/>
      <c r="N11" s="3"/>
      <c r="O11" s="3"/>
      <c r="P11" s="3"/>
      <c r="Q11" s="3"/>
      <c r="V11" s="15"/>
      <c r="W11" s="15"/>
      <c r="X11" s="15"/>
      <c r="Y11" s="15"/>
      <c r="Z11" s="15"/>
      <c r="AA11" s="15"/>
      <c r="AB11" s="15"/>
    </row>
    <row r="12" spans="1:28" x14ac:dyDescent="0.2">
      <c r="A12" s="12" t="s">
        <v>8</v>
      </c>
      <c r="B12" s="3">
        <v>172</v>
      </c>
      <c r="F12" s="12" t="s">
        <v>8</v>
      </c>
      <c r="G12" s="3">
        <v>600</v>
      </c>
      <c r="K12" s="13" t="s">
        <v>40</v>
      </c>
      <c r="L12" s="3"/>
      <c r="M12" s="3"/>
      <c r="N12" s="3"/>
      <c r="O12" s="3"/>
      <c r="P12" s="3">
        <v>36.5</v>
      </c>
      <c r="Q12" s="3">
        <v>36.5</v>
      </c>
      <c r="V12" s="15"/>
      <c r="W12" s="15"/>
      <c r="X12" s="15"/>
      <c r="Y12" s="15"/>
      <c r="Z12" s="15"/>
      <c r="AA12" s="15"/>
      <c r="AB12" s="15"/>
    </row>
    <row r="13" spans="1:28" x14ac:dyDescent="0.2">
      <c r="A13" s="12" t="s">
        <v>45</v>
      </c>
      <c r="B13" s="3">
        <v>861</v>
      </c>
      <c r="F13" s="12" t="s">
        <v>45</v>
      </c>
      <c r="G13" s="3">
        <v>8890</v>
      </c>
      <c r="K13" s="13" t="s">
        <v>37</v>
      </c>
      <c r="L13" s="3"/>
      <c r="M13" s="3"/>
      <c r="N13" s="3"/>
      <c r="O13" s="3"/>
      <c r="P13" s="3">
        <v>960</v>
      </c>
      <c r="Q13" s="3">
        <v>960</v>
      </c>
      <c r="V13" s="15"/>
      <c r="W13" s="15"/>
      <c r="X13" s="15"/>
      <c r="Y13" s="15"/>
      <c r="Z13" s="15"/>
      <c r="AA13" s="15"/>
      <c r="AB13" s="15"/>
    </row>
    <row r="14" spans="1:28" x14ac:dyDescent="0.2">
      <c r="K14" s="13" t="s">
        <v>42</v>
      </c>
      <c r="L14" s="3"/>
      <c r="M14" s="3"/>
      <c r="N14" s="3"/>
      <c r="O14" s="3"/>
      <c r="P14" s="3">
        <v>46</v>
      </c>
      <c r="Q14" s="3">
        <v>46</v>
      </c>
      <c r="V14" s="15"/>
      <c r="W14" s="15"/>
      <c r="X14" s="15"/>
      <c r="Y14" s="15"/>
      <c r="Z14" s="15"/>
      <c r="AA14" s="15"/>
      <c r="AB14" s="15"/>
    </row>
    <row r="15" spans="1:28" x14ac:dyDescent="0.2">
      <c r="K15" s="13" t="s">
        <v>44</v>
      </c>
      <c r="L15" s="3"/>
      <c r="M15" s="3"/>
      <c r="N15" s="3"/>
      <c r="O15" s="3"/>
      <c r="P15" s="3">
        <v>27</v>
      </c>
      <c r="Q15" s="3">
        <v>27</v>
      </c>
      <c r="V15" s="15"/>
      <c r="W15" s="15"/>
      <c r="X15" s="15"/>
      <c r="Y15" s="15"/>
      <c r="Z15" s="15"/>
      <c r="AA15" s="15"/>
      <c r="AB15" s="15"/>
    </row>
    <row r="16" spans="1:28" x14ac:dyDescent="0.2">
      <c r="K16" s="3" t="s">
        <v>12</v>
      </c>
      <c r="L16" s="3"/>
      <c r="M16" s="3"/>
      <c r="N16" s="3"/>
      <c r="O16" s="3"/>
      <c r="P16" s="3"/>
      <c r="Q16" s="3"/>
      <c r="V16" s="15"/>
      <c r="W16" s="15"/>
      <c r="X16" s="15"/>
      <c r="Y16" s="15"/>
      <c r="Z16" s="15"/>
      <c r="AA16" s="15"/>
      <c r="AB16" s="15"/>
    </row>
    <row r="17" spans="11:28" x14ac:dyDescent="0.2">
      <c r="K17" s="13" t="s">
        <v>40</v>
      </c>
      <c r="L17" s="3">
        <v>18</v>
      </c>
      <c r="M17" s="3">
        <v>17</v>
      </c>
      <c r="N17" s="3"/>
      <c r="O17" s="3">
        <v>29</v>
      </c>
      <c r="P17" s="3"/>
      <c r="Q17" s="3">
        <v>21.333333333333332</v>
      </c>
      <c r="V17" s="15"/>
      <c r="W17" s="15"/>
      <c r="X17" s="15"/>
      <c r="Y17" s="15"/>
      <c r="Z17" s="15"/>
      <c r="AA17" s="15"/>
      <c r="AB17" s="15"/>
    </row>
    <row r="18" spans="11:28" x14ac:dyDescent="0.2">
      <c r="K18" s="13" t="s">
        <v>37</v>
      </c>
      <c r="L18" s="3">
        <v>340</v>
      </c>
      <c r="M18" s="3">
        <v>340</v>
      </c>
      <c r="N18" s="3"/>
      <c r="O18" s="3">
        <v>340</v>
      </c>
      <c r="P18" s="3"/>
      <c r="Q18" s="3">
        <v>1020</v>
      </c>
      <c r="V18" s="15"/>
      <c r="W18" s="15"/>
      <c r="X18" s="15"/>
      <c r="Y18" s="15"/>
      <c r="Z18" s="15"/>
      <c r="AA18" s="15"/>
      <c r="AB18" s="15"/>
    </row>
    <row r="19" spans="11:28" x14ac:dyDescent="0.2">
      <c r="K19" s="13" t="s">
        <v>42</v>
      </c>
      <c r="L19" s="3">
        <v>18</v>
      </c>
      <c r="M19" s="3">
        <v>17</v>
      </c>
      <c r="N19" s="3"/>
      <c r="O19" s="3">
        <v>29</v>
      </c>
      <c r="P19" s="3"/>
      <c r="Q19" s="3">
        <v>29</v>
      </c>
      <c r="V19" s="15"/>
      <c r="W19" s="15"/>
      <c r="X19" s="15"/>
      <c r="Y19" s="15"/>
      <c r="Z19" s="15"/>
      <c r="AA19" s="15"/>
      <c r="AB19" s="15"/>
    </row>
    <row r="20" spans="11:28" x14ac:dyDescent="0.2">
      <c r="K20" s="13" t="s">
        <v>44</v>
      </c>
      <c r="L20" s="3">
        <v>18</v>
      </c>
      <c r="M20" s="3">
        <v>17</v>
      </c>
      <c r="N20" s="3"/>
      <c r="O20" s="3">
        <v>29</v>
      </c>
      <c r="P20" s="3"/>
      <c r="Q20" s="3">
        <v>17</v>
      </c>
      <c r="V20" s="15"/>
      <c r="W20" s="15"/>
      <c r="X20" s="15"/>
      <c r="Y20" s="15"/>
      <c r="Z20" s="15"/>
      <c r="AA20" s="15"/>
      <c r="AB20" s="15"/>
    </row>
    <row r="21" spans="11:28" x14ac:dyDescent="0.2">
      <c r="K21" s="3" t="s">
        <v>22</v>
      </c>
      <c r="L21" s="3"/>
      <c r="M21" s="3"/>
      <c r="N21" s="3"/>
      <c r="O21" s="3"/>
      <c r="P21" s="3"/>
      <c r="Q21" s="3"/>
      <c r="V21" s="15"/>
      <c r="W21" s="15"/>
      <c r="X21" s="15"/>
      <c r="Y21" s="15"/>
      <c r="Z21" s="15"/>
      <c r="AA21" s="15"/>
      <c r="AB21" s="15"/>
    </row>
    <row r="22" spans="11:28" x14ac:dyDescent="0.2">
      <c r="K22" s="13" t="s">
        <v>40</v>
      </c>
      <c r="L22" s="3"/>
      <c r="M22" s="3"/>
      <c r="N22" s="3">
        <v>73</v>
      </c>
      <c r="O22" s="3"/>
      <c r="P22" s="3"/>
      <c r="Q22" s="3">
        <v>73</v>
      </c>
      <c r="V22" s="15"/>
      <c r="W22" s="15"/>
      <c r="X22" s="15"/>
      <c r="Y22" s="15"/>
      <c r="Z22" s="15"/>
      <c r="AA22" s="15"/>
      <c r="AB22" s="15"/>
    </row>
    <row r="23" spans="11:28" x14ac:dyDescent="0.2">
      <c r="K23" s="13" t="s">
        <v>37</v>
      </c>
      <c r="L23" s="3"/>
      <c r="M23" s="3"/>
      <c r="N23" s="3">
        <v>780</v>
      </c>
      <c r="O23" s="3"/>
      <c r="P23" s="3"/>
      <c r="Q23" s="3">
        <v>780</v>
      </c>
      <c r="V23" s="15"/>
      <c r="W23" s="15"/>
      <c r="X23" s="15"/>
      <c r="Y23" s="15"/>
      <c r="Z23" s="15"/>
      <c r="AA23" s="15"/>
      <c r="AB23" s="15"/>
    </row>
    <row r="24" spans="11:28" x14ac:dyDescent="0.2">
      <c r="K24" s="13" t="s">
        <v>42</v>
      </c>
      <c r="L24" s="3"/>
      <c r="M24" s="3"/>
      <c r="N24" s="3">
        <v>73</v>
      </c>
      <c r="O24" s="3"/>
      <c r="P24" s="3"/>
      <c r="Q24" s="3">
        <v>73</v>
      </c>
      <c r="V24" s="15"/>
      <c r="W24" s="15"/>
      <c r="X24" s="15"/>
      <c r="Y24" s="15"/>
      <c r="Z24" s="15"/>
      <c r="AA24" s="15"/>
      <c r="AB24" s="15"/>
    </row>
    <row r="25" spans="11:28" x14ac:dyDescent="0.2">
      <c r="K25" s="13" t="s">
        <v>44</v>
      </c>
      <c r="L25" s="3"/>
      <c r="M25" s="3"/>
      <c r="N25" s="3">
        <v>73</v>
      </c>
      <c r="O25" s="3"/>
      <c r="P25" s="3"/>
      <c r="Q25" s="3">
        <v>73</v>
      </c>
      <c r="V25" s="15"/>
      <c r="W25" s="15"/>
      <c r="X25" s="15"/>
      <c r="Y25" s="15"/>
      <c r="Z25" s="15"/>
      <c r="AA25" s="15"/>
      <c r="AB25" s="15"/>
    </row>
    <row r="26" spans="11:28" x14ac:dyDescent="0.2">
      <c r="K26" s="3" t="s">
        <v>18</v>
      </c>
      <c r="L26" s="3"/>
      <c r="M26" s="3"/>
      <c r="N26" s="3"/>
      <c r="O26" s="3"/>
      <c r="P26" s="3"/>
      <c r="Q26" s="3"/>
      <c r="V26" s="15"/>
      <c r="W26" s="15"/>
      <c r="X26" s="15"/>
      <c r="Y26" s="15"/>
      <c r="Z26" s="15"/>
      <c r="AA26" s="15"/>
      <c r="AB26" s="15"/>
    </row>
    <row r="27" spans="11:28" x14ac:dyDescent="0.2">
      <c r="K27" s="13" t="s">
        <v>40</v>
      </c>
      <c r="L27" s="3"/>
      <c r="M27" s="3"/>
      <c r="N27" s="3">
        <v>4</v>
      </c>
      <c r="O27" s="3"/>
      <c r="P27" s="3">
        <v>56</v>
      </c>
      <c r="Q27" s="3">
        <v>30</v>
      </c>
      <c r="V27" s="15"/>
      <c r="W27" s="15"/>
      <c r="X27" s="15"/>
      <c r="Y27" s="15"/>
      <c r="Z27" s="15"/>
      <c r="AA27" s="15"/>
      <c r="AB27" s="15"/>
    </row>
    <row r="28" spans="11:28" x14ac:dyDescent="0.2">
      <c r="K28" s="13" t="s">
        <v>37</v>
      </c>
      <c r="L28" s="3"/>
      <c r="M28" s="3"/>
      <c r="N28" s="3">
        <v>690</v>
      </c>
      <c r="O28" s="3"/>
      <c r="P28" s="3">
        <v>690</v>
      </c>
      <c r="Q28" s="3">
        <v>1380</v>
      </c>
      <c r="V28" s="15"/>
      <c r="W28" s="15"/>
      <c r="X28" s="15"/>
      <c r="Y28" s="15"/>
      <c r="Z28" s="15"/>
      <c r="AA28" s="15"/>
      <c r="AB28" s="15"/>
    </row>
    <row r="29" spans="11:28" x14ac:dyDescent="0.2">
      <c r="K29" s="13" t="s">
        <v>42</v>
      </c>
      <c r="L29" s="3"/>
      <c r="M29" s="3"/>
      <c r="N29" s="3">
        <v>4</v>
      </c>
      <c r="O29" s="3"/>
      <c r="P29" s="3">
        <v>56</v>
      </c>
      <c r="Q29" s="3">
        <v>56</v>
      </c>
      <c r="V29" s="15"/>
      <c r="W29" s="15"/>
      <c r="X29" s="15"/>
      <c r="Y29" s="15"/>
      <c r="Z29" s="15"/>
      <c r="AA29" s="15"/>
      <c r="AB29" s="15"/>
    </row>
    <row r="30" spans="11:28" x14ac:dyDescent="0.2">
      <c r="K30" s="13" t="s">
        <v>44</v>
      </c>
      <c r="L30" s="3"/>
      <c r="M30" s="3"/>
      <c r="N30" s="3">
        <v>4</v>
      </c>
      <c r="O30" s="3"/>
      <c r="P30" s="3">
        <v>56</v>
      </c>
      <c r="Q30" s="3">
        <v>4</v>
      </c>
      <c r="V30" s="15"/>
      <c r="W30" s="15"/>
      <c r="X30" s="15"/>
      <c r="Y30" s="15"/>
      <c r="Z30" s="15"/>
      <c r="AA30" s="15"/>
      <c r="AB30" s="15"/>
    </row>
    <row r="31" spans="11:28" x14ac:dyDescent="0.2">
      <c r="K31" s="3" t="s">
        <v>26</v>
      </c>
      <c r="L31" s="3"/>
      <c r="M31" s="3"/>
      <c r="N31" s="3"/>
      <c r="O31" s="3"/>
      <c r="P31" s="3"/>
      <c r="Q31" s="3"/>
      <c r="V31" s="15"/>
      <c r="W31" s="15"/>
      <c r="X31" s="15"/>
      <c r="Y31" s="15"/>
      <c r="Z31" s="15"/>
      <c r="AA31" s="15"/>
      <c r="AB31" s="15"/>
    </row>
    <row r="32" spans="11:28" x14ac:dyDescent="0.2">
      <c r="K32" s="13" t="s">
        <v>40</v>
      </c>
      <c r="L32" s="3">
        <v>77</v>
      </c>
      <c r="M32" s="3">
        <v>65</v>
      </c>
      <c r="N32" s="3">
        <v>57</v>
      </c>
      <c r="O32" s="3"/>
      <c r="P32" s="3"/>
      <c r="Q32" s="3">
        <v>66.333333333333329</v>
      </c>
      <c r="V32" s="15"/>
      <c r="W32" s="15"/>
      <c r="X32" s="15"/>
      <c r="Y32" s="15"/>
      <c r="Z32" s="15"/>
      <c r="AA32" s="15"/>
      <c r="AB32" s="15"/>
    </row>
    <row r="33" spans="11:28" x14ac:dyDescent="0.2">
      <c r="K33" s="13" t="s">
        <v>37</v>
      </c>
      <c r="L33" s="3">
        <v>550</v>
      </c>
      <c r="M33" s="3">
        <v>550</v>
      </c>
      <c r="N33" s="3">
        <v>550</v>
      </c>
      <c r="O33" s="3"/>
      <c r="P33" s="3"/>
      <c r="Q33" s="3">
        <v>1650</v>
      </c>
      <c r="V33" s="15"/>
      <c r="W33" s="15"/>
      <c r="X33" s="15"/>
      <c r="Y33" s="15"/>
      <c r="Z33" s="15"/>
      <c r="AA33" s="15"/>
      <c r="AB33" s="15"/>
    </row>
    <row r="34" spans="11:28" x14ac:dyDescent="0.2">
      <c r="K34" s="13" t="s">
        <v>42</v>
      </c>
      <c r="L34" s="3">
        <v>77</v>
      </c>
      <c r="M34" s="3">
        <v>65</v>
      </c>
      <c r="N34" s="3">
        <v>57</v>
      </c>
      <c r="O34" s="3"/>
      <c r="P34" s="3"/>
      <c r="Q34" s="3">
        <v>77</v>
      </c>
      <c r="V34" s="15"/>
      <c r="W34" s="15"/>
      <c r="X34" s="15"/>
      <c r="Y34" s="15"/>
      <c r="Z34" s="15"/>
      <c r="AA34" s="15"/>
      <c r="AB34" s="15"/>
    </row>
    <row r="35" spans="11:28" x14ac:dyDescent="0.2">
      <c r="K35" s="13" t="s">
        <v>44</v>
      </c>
      <c r="L35" s="3">
        <v>77</v>
      </c>
      <c r="M35" s="3">
        <v>65</v>
      </c>
      <c r="N35" s="3">
        <v>57</v>
      </c>
      <c r="O35" s="3"/>
      <c r="P35" s="3"/>
      <c r="Q35" s="3">
        <v>57</v>
      </c>
      <c r="V35" s="15"/>
      <c r="W35" s="15"/>
      <c r="X35" s="15"/>
      <c r="Y35" s="15"/>
      <c r="Z35" s="15"/>
      <c r="AA35" s="15"/>
      <c r="AB35" s="15"/>
    </row>
    <row r="36" spans="11:28" x14ac:dyDescent="0.2">
      <c r="K36" s="3" t="s">
        <v>34</v>
      </c>
      <c r="L36" s="3"/>
      <c r="M36" s="3"/>
      <c r="N36" s="3"/>
      <c r="O36" s="3"/>
      <c r="P36" s="3"/>
      <c r="Q36" s="3"/>
      <c r="V36" s="15"/>
      <c r="W36" s="15"/>
      <c r="X36" s="15"/>
      <c r="Y36" s="15"/>
      <c r="Z36" s="15"/>
      <c r="AA36" s="15"/>
      <c r="AB36" s="15"/>
    </row>
    <row r="37" spans="11:28" x14ac:dyDescent="0.2">
      <c r="K37" s="13" t="s">
        <v>40</v>
      </c>
      <c r="L37" s="3"/>
      <c r="M37" s="3">
        <v>84</v>
      </c>
      <c r="N37" s="3"/>
      <c r="O37" s="3"/>
      <c r="P37" s="3">
        <v>14</v>
      </c>
      <c r="Q37" s="3">
        <v>49</v>
      </c>
      <c r="V37" s="15"/>
      <c r="W37" s="15"/>
      <c r="X37" s="15"/>
      <c r="Y37" s="15"/>
      <c r="Z37" s="15"/>
      <c r="AA37" s="15"/>
      <c r="AB37" s="15"/>
    </row>
    <row r="38" spans="11:28" x14ac:dyDescent="0.2">
      <c r="K38" s="13" t="s">
        <v>37</v>
      </c>
      <c r="L38" s="3"/>
      <c r="M38" s="3">
        <v>300</v>
      </c>
      <c r="N38" s="3"/>
      <c r="O38" s="3"/>
      <c r="P38" s="3">
        <v>300</v>
      </c>
      <c r="Q38" s="3">
        <v>600</v>
      </c>
      <c r="V38" s="15"/>
      <c r="W38" s="15"/>
      <c r="X38" s="15"/>
      <c r="Y38" s="15"/>
      <c r="Z38" s="15"/>
      <c r="AA38" s="15"/>
      <c r="AB38" s="15"/>
    </row>
    <row r="39" spans="11:28" x14ac:dyDescent="0.2">
      <c r="K39" s="13" t="s">
        <v>42</v>
      </c>
      <c r="L39" s="3"/>
      <c r="M39" s="3">
        <v>84</v>
      </c>
      <c r="N39" s="3"/>
      <c r="O39" s="3"/>
      <c r="P39" s="3">
        <v>14</v>
      </c>
      <c r="Q39" s="3">
        <v>84</v>
      </c>
      <c r="V39" s="15"/>
      <c r="W39" s="15"/>
      <c r="X39" s="15"/>
      <c r="Y39" s="15"/>
      <c r="Z39" s="15"/>
      <c r="AA39" s="15"/>
      <c r="AB39" s="15"/>
    </row>
    <row r="40" spans="11:28" x14ac:dyDescent="0.2">
      <c r="K40" s="13" t="s">
        <v>44</v>
      </c>
      <c r="L40" s="3"/>
      <c r="M40" s="3">
        <v>84</v>
      </c>
      <c r="N40" s="3"/>
      <c r="O40" s="3"/>
      <c r="P40" s="3">
        <v>14</v>
      </c>
      <c r="Q40" s="3">
        <v>14</v>
      </c>
      <c r="V40" s="15"/>
      <c r="W40" s="15"/>
      <c r="X40" s="15"/>
      <c r="Y40" s="15"/>
      <c r="Z40" s="15"/>
      <c r="AA40" s="15"/>
      <c r="AB40" s="15"/>
    </row>
    <row r="41" spans="11:28" x14ac:dyDescent="0.2">
      <c r="K41" s="3" t="s">
        <v>36</v>
      </c>
      <c r="L41" s="3"/>
      <c r="M41" s="3"/>
      <c r="N41" s="3"/>
      <c r="O41" s="3"/>
      <c r="P41" s="3"/>
      <c r="Q41" s="3"/>
      <c r="V41" s="15"/>
      <c r="W41" s="15"/>
      <c r="X41" s="15"/>
      <c r="Y41" s="15"/>
      <c r="Z41" s="15"/>
      <c r="AA41" s="15"/>
      <c r="AB41" s="15"/>
    </row>
    <row r="42" spans="11:28" x14ac:dyDescent="0.2">
      <c r="K42" s="13" t="s">
        <v>40</v>
      </c>
      <c r="L42" s="3"/>
      <c r="M42" s="3"/>
      <c r="N42" s="3"/>
      <c r="O42" s="3">
        <v>54</v>
      </c>
      <c r="P42" s="3"/>
      <c r="Q42" s="3">
        <v>54</v>
      </c>
      <c r="V42" s="15"/>
      <c r="W42" s="15"/>
      <c r="X42" s="15"/>
      <c r="Y42" s="15"/>
      <c r="Z42" s="15"/>
      <c r="AA42" s="15"/>
      <c r="AB42" s="15"/>
    </row>
    <row r="43" spans="11:28" x14ac:dyDescent="0.2">
      <c r="K43" s="13" t="s">
        <v>37</v>
      </c>
      <c r="L43" s="3"/>
      <c r="M43" s="3"/>
      <c r="N43" s="3"/>
      <c r="O43" s="3">
        <v>900</v>
      </c>
      <c r="P43" s="3"/>
      <c r="Q43" s="3">
        <v>900</v>
      </c>
      <c r="V43" s="15"/>
      <c r="W43" s="15"/>
      <c r="X43" s="15"/>
      <c r="Y43" s="15"/>
      <c r="Z43" s="15"/>
      <c r="AA43" s="15"/>
      <c r="AB43" s="15"/>
    </row>
    <row r="44" spans="11:28" x14ac:dyDescent="0.2">
      <c r="K44" s="13" t="s">
        <v>42</v>
      </c>
      <c r="L44" s="3"/>
      <c r="M44" s="3"/>
      <c r="N44" s="3"/>
      <c r="O44" s="3">
        <v>54</v>
      </c>
      <c r="P44" s="3"/>
      <c r="Q44" s="3">
        <v>54</v>
      </c>
      <c r="V44" s="15"/>
      <c r="W44" s="15"/>
      <c r="X44" s="15"/>
      <c r="Y44" s="15"/>
      <c r="Z44" s="15"/>
      <c r="AA44" s="15"/>
      <c r="AB44" s="15"/>
    </row>
    <row r="45" spans="11:28" x14ac:dyDescent="0.2">
      <c r="K45" s="13" t="s">
        <v>44</v>
      </c>
      <c r="L45" s="3"/>
      <c r="M45" s="3"/>
      <c r="N45" s="3"/>
      <c r="O45" s="3">
        <v>54</v>
      </c>
      <c r="P45" s="3"/>
      <c r="Q45" s="3">
        <v>54</v>
      </c>
      <c r="V45" s="15"/>
      <c r="W45" s="15"/>
      <c r="X45" s="15"/>
      <c r="Y45" s="15"/>
      <c r="Z45" s="15"/>
      <c r="AA45" s="15"/>
      <c r="AB45" s="15"/>
    </row>
    <row r="46" spans="11:28" x14ac:dyDescent="0.2">
      <c r="K46" s="3" t="s">
        <v>8</v>
      </c>
      <c r="L46" s="3"/>
      <c r="M46" s="3"/>
      <c r="N46" s="3"/>
      <c r="O46" s="3"/>
      <c r="P46" s="3"/>
      <c r="Q46" s="3"/>
      <c r="V46" s="15"/>
      <c r="W46" s="15"/>
      <c r="X46" s="15"/>
      <c r="Y46" s="15"/>
      <c r="Z46" s="15"/>
      <c r="AA46" s="15"/>
      <c r="AB46" s="15"/>
    </row>
    <row r="47" spans="11:28" x14ac:dyDescent="0.2">
      <c r="K47" s="13" t="s">
        <v>40</v>
      </c>
      <c r="L47" s="3"/>
      <c r="M47" s="3">
        <v>41.5</v>
      </c>
      <c r="N47" s="3"/>
      <c r="O47" s="3">
        <v>89</v>
      </c>
      <c r="P47" s="3"/>
      <c r="Q47" s="3">
        <v>57.333333333333336</v>
      </c>
      <c r="V47" s="15"/>
      <c r="W47" s="15"/>
      <c r="X47" s="15"/>
      <c r="Y47" s="15"/>
      <c r="Z47" s="15"/>
      <c r="AA47" s="15"/>
      <c r="AB47" s="15"/>
    </row>
    <row r="48" spans="11:28" x14ac:dyDescent="0.2">
      <c r="K48" s="13" t="s">
        <v>37</v>
      </c>
      <c r="L48" s="3"/>
      <c r="M48" s="3">
        <v>400</v>
      </c>
      <c r="N48" s="3"/>
      <c r="O48" s="3">
        <v>200</v>
      </c>
      <c r="P48" s="3"/>
      <c r="Q48" s="3">
        <v>600</v>
      </c>
      <c r="V48" s="15"/>
      <c r="W48" s="15"/>
      <c r="X48" s="15"/>
      <c r="Y48" s="15"/>
      <c r="Z48" s="15"/>
      <c r="AA48" s="15"/>
      <c r="AB48" s="15"/>
    </row>
    <row r="49" spans="11:28" x14ac:dyDescent="0.2">
      <c r="K49" s="13" t="s">
        <v>42</v>
      </c>
      <c r="L49" s="3"/>
      <c r="M49" s="3">
        <v>70</v>
      </c>
      <c r="N49" s="3"/>
      <c r="O49" s="3">
        <v>89</v>
      </c>
      <c r="P49" s="3"/>
      <c r="Q49" s="3">
        <v>89</v>
      </c>
      <c r="V49" s="15"/>
      <c r="W49" s="15"/>
      <c r="X49" s="15"/>
      <c r="Y49" s="15"/>
      <c r="Z49" s="15"/>
      <c r="AA49" s="15"/>
      <c r="AB49" s="15"/>
    </row>
    <row r="50" spans="11:28" x14ac:dyDescent="0.2">
      <c r="K50" s="13" t="s">
        <v>44</v>
      </c>
      <c r="L50" s="3"/>
      <c r="M50" s="3">
        <v>13</v>
      </c>
      <c r="N50" s="3"/>
      <c r="O50" s="3">
        <v>89</v>
      </c>
      <c r="P50" s="3"/>
      <c r="Q50" s="3">
        <v>13</v>
      </c>
      <c r="V50" s="15"/>
      <c r="W50" s="15"/>
      <c r="X50" s="15"/>
      <c r="Y50" s="15"/>
      <c r="Z50" s="15"/>
      <c r="AA50" s="15"/>
      <c r="AB50" s="15"/>
    </row>
    <row r="51" spans="11:28" x14ac:dyDescent="0.2">
      <c r="K51" s="3" t="s">
        <v>39</v>
      </c>
      <c r="L51" s="3">
        <v>47.5</v>
      </c>
      <c r="M51" s="3">
        <v>49.8</v>
      </c>
      <c r="N51" s="3">
        <v>44.666666666666664</v>
      </c>
      <c r="O51" s="3">
        <v>44.5</v>
      </c>
      <c r="P51" s="3">
        <v>41</v>
      </c>
      <c r="Q51" s="3">
        <v>45.315789473684212</v>
      </c>
      <c r="V51" s="15"/>
      <c r="W51" s="15"/>
      <c r="X51" s="15"/>
      <c r="Y51" s="15"/>
      <c r="Z51" s="15"/>
      <c r="AA51" s="15"/>
      <c r="AB51" s="15"/>
    </row>
    <row r="52" spans="11:28" x14ac:dyDescent="0.2">
      <c r="K52" s="3" t="s">
        <v>38</v>
      </c>
      <c r="L52" s="3">
        <v>890</v>
      </c>
      <c r="M52" s="3">
        <v>1590</v>
      </c>
      <c r="N52" s="3">
        <v>2020</v>
      </c>
      <c r="O52" s="3">
        <v>1940</v>
      </c>
      <c r="P52" s="3">
        <v>2450</v>
      </c>
      <c r="Q52" s="3">
        <v>8890</v>
      </c>
      <c r="V52" s="15"/>
      <c r="W52" s="15"/>
      <c r="X52" s="15"/>
      <c r="Y52" s="15"/>
      <c r="Z52" s="15"/>
      <c r="AA52" s="15"/>
      <c r="AB52" s="15"/>
    </row>
    <row r="53" spans="11:28" x14ac:dyDescent="0.2">
      <c r="K53" s="3" t="s">
        <v>41</v>
      </c>
      <c r="L53" s="3">
        <v>77</v>
      </c>
      <c r="M53" s="3">
        <v>84</v>
      </c>
      <c r="N53" s="3">
        <v>73</v>
      </c>
      <c r="O53" s="3">
        <v>89</v>
      </c>
      <c r="P53" s="3">
        <v>62</v>
      </c>
      <c r="Q53" s="3">
        <v>89</v>
      </c>
      <c r="V53" s="15"/>
      <c r="W53" s="15"/>
      <c r="X53" s="15"/>
      <c r="Y53" s="15"/>
      <c r="Z53" s="15"/>
      <c r="AA53" s="15"/>
      <c r="AB53" s="15"/>
    </row>
    <row r="54" spans="11:28" x14ac:dyDescent="0.2">
      <c r="K54" s="3" t="s">
        <v>43</v>
      </c>
      <c r="L54" s="3">
        <v>18</v>
      </c>
      <c r="M54" s="3">
        <v>13</v>
      </c>
      <c r="N54" s="3">
        <v>4</v>
      </c>
      <c r="O54" s="3">
        <v>6</v>
      </c>
      <c r="P54" s="3">
        <v>14</v>
      </c>
      <c r="Q54" s="3">
        <v>4</v>
      </c>
      <c r="V54" s="15"/>
      <c r="W54" s="15"/>
      <c r="X54" s="15"/>
      <c r="Y54" s="15"/>
      <c r="Z54" s="15"/>
      <c r="AA54" s="15"/>
      <c r="AB54" s="15"/>
    </row>
  </sheetData>
  <phoneticPr fontId="1" type="noConversion"/>
  <pageMargins left="0.7" right="0.7" top="0.75" bottom="0.75" header="0.3" footer="0.3"/>
  <pageSetup paperSize="9" orientation="portrait" horizontalDpi="0" verticalDpi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Козлова</dc:creator>
  <cp:lastModifiedBy>d34550</cp:lastModifiedBy>
  <dcterms:created xsi:type="dcterms:W3CDTF">2025-10-22T19:58:52Z</dcterms:created>
  <dcterms:modified xsi:type="dcterms:W3CDTF">2025-11-05T15:48:46Z</dcterms:modified>
</cp:coreProperties>
</file>